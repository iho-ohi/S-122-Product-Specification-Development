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E:\work\git\S-122-Product-Specification-Development\S158_122\1.0.0\"/>
    </mc:Choice>
  </mc:AlternateContent>
  <xr:revisionPtr revIDLastSave="0" documentId="13_ncr:1_{D0B9FF0A-A124-49E5-9CED-8840635E3EAD}" xr6:coauthVersionLast="47" xr6:coauthVersionMax="47" xr10:uidLastSave="{00000000-0000-0000-0000-000000000000}"/>
  <bookViews>
    <workbookView xWindow="-120" yWindow="-120" windowWidth="28110" windowHeight="18240" tabRatio="647" activeTab="1" xr2:uid="{00000000-000D-0000-FFFF-FFFF00000000}"/>
  </bookViews>
  <sheets>
    <sheet name="S122ValidationChecks metadata" sheetId="11" r:id="rId1"/>
    <sheet name="S122Checks" sheetId="10" r:id="rId2"/>
  </sheets>
  <externalReferences>
    <externalReference r:id="rId3"/>
  </externalReferences>
  <definedNames>
    <definedName name="_xlnm._FilterDatabase" localSheetId="1" hidden="1">S122Checks!$K$1:$K$63</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0" l="1"/>
  <c r="A61" i="10"/>
  <c r="B60" i="10"/>
  <c r="A60" i="10"/>
  <c r="B59" i="10"/>
  <c r="A59" i="10"/>
  <c r="B58" i="10"/>
  <c r="A58" i="10"/>
  <c r="B57" i="10"/>
  <c r="A57" i="10"/>
  <c r="B56" i="10"/>
  <c r="A56" i="10"/>
  <c r="B55" i="10"/>
  <c r="A55" i="10"/>
  <c r="B54" i="10"/>
  <c r="A54" i="10"/>
  <c r="B53" i="10"/>
  <c r="A53"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B39" i="10"/>
  <c r="A40" i="10"/>
  <c r="A39" i="10"/>
  <c r="B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alcChain>
</file>

<file path=xl/sharedStrings.xml><?xml version="1.0" encoding="utf-8"?>
<sst xmlns="http://schemas.openxmlformats.org/spreadsheetml/2006/main" count="564" uniqueCount="319">
  <si>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</si>
  <si>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</si>
  <si>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</si>
  <si>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</si>
  <si>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</si>
  <si>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</si>
  <si>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</si>
  <si>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</si>
  <si>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</si>
  <si>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</si>
  <si>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</si>
  <si>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</si>
  <si>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</si>
  <si>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</si>
  <si>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</si>
  <si>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</si>
  <si>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</si>
  <si>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</si>
  <si>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</si>
  <si>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</si>
  <si>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</si>
  <si>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</si>
  <si>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</si>
  <si>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</si>
  <si>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</si>
  <si>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PS</t>
  </si>
  <si>
    <t>2.0.0</t>
  </si>
  <si>
    <t>Draft</t>
  </si>
  <si>
    <t>Ed.2.0.0</t>
  </si>
  <si>
    <t>S-100</t>
  </si>
  <si>
    <t>Ed. 5.2.0</t>
  </si>
  <si>
    <t>1.0.0</t>
  </si>
  <si>
    <t>For each feature object with an attribute of type Float or Integer where the value contains zeroes before the first numerical digit or after the last numerical digit.</t>
  </si>
  <si>
    <t>If the order of the data in a dataset is not correct.</t>
  </si>
  <si>
    <t>For each fixedDateRange where dateEnd or dateStart is not Null but the year component is not specified.</t>
  </si>
  <si>
    <t xml:space="preserve">Objects fall outside the coverage object. </t>
  </si>
  <si>
    <t>Name is encoded in national language only.</t>
  </si>
  <si>
    <t>Text is encoded in national language only</t>
  </si>
  <si>
    <t>Object outside area of coverage.</t>
  </si>
  <si>
    <t>Incorrect data order.</t>
  </si>
  <si>
    <t>Vertex density exceeds the allowable tolerance.</t>
  </si>
  <si>
    <t>Year is required in fixedDateRange dates.</t>
  </si>
  <si>
    <t>TextContent is not populated with meaningful information.</t>
  </si>
  <si>
    <t>Information is not populated with meaningful information.</t>
  </si>
  <si>
    <t>Contact address is not populated with meaningful information.</t>
  </si>
  <si>
    <t>Applicability is not populated with meaningful information.</t>
  </si>
  <si>
    <t>NonStandardWorkingDay not populated with meaningful information.</t>
  </si>
  <si>
    <t>ContactDetails not populated with meaningful information.</t>
  </si>
  <si>
    <t>Associated feature or information type not present.</t>
  </si>
  <si>
    <t>Values for file reference and locator combinations are identical.</t>
  </si>
  <si>
    <t>Ensure objects are not outside of the limits of the cell.</t>
  </si>
  <si>
    <t xml:space="preserve">Remove non-significant zeroes. </t>
  </si>
  <si>
    <t>Remove duplicate value from geo object.</t>
  </si>
  <si>
    <t>Ensure that national language attributes are populated with the correct values.</t>
  </si>
  <si>
    <t>Populate text attribute with English text.</t>
  </si>
  <si>
    <t>Populate name attribute with English text.</t>
  </si>
  <si>
    <t>Remove object or amend coverage.</t>
  </si>
  <si>
    <t>Amend data order.</t>
  </si>
  <si>
    <t>Generalise edge(s).</t>
  </si>
  <si>
    <t>Review time intervals and remove time overlap.</t>
  </si>
  <si>
    <t>Review service hour intervals and remove time overlap.</t>
  </si>
  <si>
    <t>Add file to exchange set or remove reference to file.</t>
  </si>
  <si>
    <t>Split the dataset along the 180° meridian.</t>
  </si>
  <si>
    <t>Amend values of dateEnd or dateStart accordingly.</t>
  </si>
  <si>
    <t>Populate year component of dateStart and dateEnd</t>
  </si>
  <si>
    <t>Populate at least one sub-attribute of contactAddress.</t>
  </si>
  <si>
    <t>Populate information or onlineResource.</t>
  </si>
  <si>
    <t>Populate fileReference or text attribute.</t>
  </si>
  <si>
    <t>DCEG</t>
  </si>
  <si>
    <t>B, S</t>
  </si>
  <si>
    <t>B, U</t>
  </si>
  <si>
    <t>B, U, S</t>
  </si>
  <si>
    <t>Apply To</t>
  </si>
  <si>
    <t>Remarks</t>
  </si>
  <si>
    <t>S-158:122</t>
  </si>
  <si>
    <t>MARINE PROTECTED AREAS VALIDATION CHECKS</t>
  </si>
  <si>
    <t>S-122 PS</t>
  </si>
  <si>
    <t>S-122 DCEG</t>
  </si>
  <si>
    <t>S-122 FC</t>
  </si>
  <si>
    <t>Metadata of S-122 Validation Check Specification</t>
  </si>
  <si>
    <t>For each feature object where its geometry is not COVERED_BY a DataCoverage</t>
  </si>
  <si>
    <t>If either QualityOfNonbathymetricData or DataCoverage meta objects do not exist within the data set.</t>
  </si>
  <si>
    <t>For each feature object with an attribute value identical to a corresponding attribute of a meta object it is COVERED_BY.</t>
  </si>
  <si>
    <t>For each feature instance where textContent attribute is present, and two or more information subAttributes are present, and the text subattributes are equal</t>
  </si>
  <si>
    <t>For each feature instance where textContent attribute is present, and two or more information subAttributes are present, and the fileLocator  subattributes are equal</t>
  </si>
  <si>
    <t>For each feature instance where periodicDateRange subattributes dateEnd and dateStart are notNull AND their values are identical.</t>
  </si>
  <si>
    <t>For each instance of a dataset, present in the exchange set and that does not have dataset discovery metadata.</t>
  </si>
  <si>
    <t>For each instance of a support file, present in the exchange set and that does not have support file discovery metadata.</t>
  </si>
  <si>
    <t>For each feature instance, which CROSS the 180° meridian.</t>
  </si>
  <si>
    <t>For each fixedDateRange where both dateEnd and dateStart are omitted or Null</t>
  </si>
  <si>
    <t>For each textContent attribute where both information and onlineResource are missing or null.</t>
  </si>
  <si>
    <t>For each information attribute where both fileReference and text subattributes are missing or null</t>
  </si>
  <si>
    <t>For each sourceIndication where the sub-attributes are missing or null</t>
  </si>
  <si>
    <t>For each contactAddress with all sub-attributes either omitted or null</t>
  </si>
  <si>
    <t>For each Regulations, Restrictions, Recommendations, NauticalInformation with both graphic and textContent missing or null</t>
  </si>
  <si>
    <t>For each Applicability without at least one of its attributes populated</t>
  </si>
  <si>
    <t>For each NonStandardWorkingDay with all of dateFixed, dateVariable, and information missing or null</t>
  </si>
  <si>
    <t>For each ContactDetails without at least one non-Null attribute</t>
  </si>
  <si>
    <t>For each association where the target is not in the dataset</t>
  </si>
  <si>
    <t>An attribute value of a meta object is duplicated on a geo object.</t>
  </si>
  <si>
    <t>Object has identical values of periodicDateRange subattributes dateEnd and dateStart.</t>
  </si>
  <si>
    <t>Time intervals within the same scheduleByDoW attribute overlap</t>
  </si>
  <si>
    <t>Schedule overlaps</t>
  </si>
  <si>
    <t>Dataset discovery metadata is missing for dataset</t>
  </si>
  <si>
    <t>Support file discovery metadata is missing for support file.</t>
  </si>
  <si>
    <t>Data crossing the 180° meridian</t>
  </si>
  <si>
    <t>FixedDateRange not Populated making the attribute meaningless.</t>
  </si>
  <si>
    <t>SourceIndication is not populated with meaningful information.</t>
  </si>
  <si>
    <t>Regulations, Restrictions, Recommendations, NauticalInformation not populated</t>
  </si>
  <si>
    <t>Empty update</t>
  </si>
  <si>
    <t>Include mandatory meta feature objects QualityOfNonbathymetricData or DataCoverage</t>
  </si>
  <si>
    <t xml:space="preserve">Change character encoding to UTF-8 </t>
  </si>
  <si>
    <t>Ensure that name subattributes are populated with the correct values.</t>
  </si>
  <si>
    <t>Ensure that text subattributes are populated with the correct values.</t>
  </si>
  <si>
    <t>Ensure values of periodicDateRange subattributes dateEnd and dateStart are logical.</t>
  </si>
  <si>
    <t>Add dataset discovery metadata</t>
  </si>
  <si>
    <t>Support file discovery metadata</t>
  </si>
  <si>
    <t>Populate at least one of dateEnd or dateStart</t>
  </si>
  <si>
    <t>Populate source indication</t>
  </si>
  <si>
    <t>Populate at least one of graphic or textInformation</t>
  </si>
  <si>
    <t>Populate at least one attribute of Applicability</t>
  </si>
  <si>
    <t>Populate at least one of dateFixed, dateVariable, and information</t>
  </si>
  <si>
    <t>Populate at least one attribute of ContactDetails</t>
  </si>
  <si>
    <t>Correct or remove the association, or add the missing feature or information type.</t>
  </si>
  <si>
    <t>122_ED1_100</t>
  </si>
  <si>
    <t>122_ED1_102</t>
  </si>
  <si>
    <t>122_ED1_103</t>
  </si>
  <si>
    <t>122_ED1_105</t>
  </si>
  <si>
    <t>122_ED1_106</t>
  </si>
  <si>
    <t>122_ED1_114</t>
  </si>
  <si>
    <t>122_ED1_115</t>
  </si>
  <si>
    <t>122_ED1_116</t>
  </si>
  <si>
    <t>122_ED1_117</t>
  </si>
  <si>
    <t>122_ED1_118</t>
  </si>
  <si>
    <t>122_ED1_119</t>
  </si>
  <si>
    <t>122_ED1_120</t>
  </si>
  <si>
    <t>122_ED1_122 </t>
  </si>
  <si>
    <t>122_ED1_126</t>
  </si>
  <si>
    <t>122_ED1_127</t>
  </si>
  <si>
    <t>122_ED1_129</t>
  </si>
  <si>
    <t>122_ED1_132</t>
  </si>
  <si>
    <t>122_ED1_133</t>
  </si>
  <si>
    <t>122_ED1_134</t>
  </si>
  <si>
    <t>122_ED1_136</t>
  </si>
  <si>
    <t>122_ED1_137</t>
  </si>
  <si>
    <t>122_ED1_138</t>
  </si>
  <si>
    <t>122_ED1_139</t>
  </si>
  <si>
    <t>122_ED1_144</t>
  </si>
  <si>
    <t>122_ED1_145</t>
  </si>
  <si>
    <t>122_ED1_146</t>
  </si>
  <si>
    <t>122_ED1_147</t>
  </si>
  <si>
    <t>122_ED1_148</t>
  </si>
  <si>
    <t>122_ED1_149</t>
  </si>
  <si>
    <t>122_ED1_150</t>
  </si>
  <si>
    <t>122_ED1_152</t>
  </si>
  <si>
    <t>122_ED1_153</t>
  </si>
  <si>
    <t>122_ED1_154</t>
  </si>
  <si>
    <t>122_ED1_156</t>
  </si>
  <si>
    <t>122_ED1_157</t>
  </si>
  <si>
    <t>122_ED1_161</t>
  </si>
  <si>
    <t>122_ED1_163</t>
  </si>
  <si>
    <t>U</t>
  </si>
  <si>
    <t>2.7.1</t>
  </si>
  <si>
    <t>Clause ref. updated in 2.0.0</t>
  </si>
  <si>
    <t>PS; DCEG</t>
  </si>
  <si>
    <t>Clause refs. added in 2.0.0</t>
  </si>
  <si>
    <t>N/A</t>
  </si>
  <si>
    <t>If the srsName values encoded in the dataset are different from http://www.opengis.net/def/crs/EPSG/0/4326</t>
  </si>
  <si>
    <t>W</t>
  </si>
  <si>
    <t>For each feature instance that does not OVERLAP OR is WITHIN an area of DataCoverage</t>
  </si>
  <si>
    <t>Clause ref. updated in 2.0.0; check reformulated</t>
  </si>
  <si>
    <t>Reformulated in terms of  display scale, refs. Updated</t>
  </si>
  <si>
    <t>For each catalogue in the exchange set for which there is no discovery metadata  in the exchange catalogue</t>
  </si>
  <si>
    <t>Ref. updated</t>
  </si>
  <si>
    <t>2.4.8.2, 17.19</t>
  </si>
  <si>
    <t>2.5.5.6</t>
  </si>
  <si>
    <t>For each update dataset, without a feature or information type, or spatial object</t>
  </si>
  <si>
    <t>Add updated feature or information type.</t>
  </si>
  <si>
    <t>Reformulated, file-less cancellation will have a discovery metadata record in CATALOG.XML but no dataset or support file</t>
  </si>
  <si>
    <t>8.1.1, 10.4.2</t>
  </si>
  <si>
    <t>No discovery metadata for catalogue.</t>
  </si>
  <si>
    <t>Add discovery metadata to exchange catalogue or remove catalogue from exchange set.</t>
  </si>
  <si>
    <t>Only file-less cancellation is permitted</t>
  </si>
  <si>
    <t>Modified to reflect use of only file-less cancellation</t>
  </si>
  <si>
    <t>Overlapping datasets within the same scale range</t>
  </si>
  <si>
    <t>C</t>
  </si>
  <si>
    <t>Correct coverages or scale ranges</t>
  </si>
  <si>
    <t>B</t>
  </si>
  <si>
    <t>Datasets in the same scale range have overlapping DataCoverage features</t>
  </si>
  <si>
    <t>E</t>
  </si>
  <si>
    <t>Character encoding for text must be UTF-8.</t>
  </si>
  <si>
    <t>Clause ref. updated in 2.0.0. Message harmonized with S-131 check</t>
  </si>
  <si>
    <t>Values of “name” sub attribute of “featureName” are identical.</t>
  </si>
  <si>
    <t>Values for “text” sub-attribute of “information” are identical.</t>
  </si>
  <si>
    <t>Message harmonized with S-131 checks</t>
  </si>
  <si>
    <t>Condition updated. Message harmonized with S-131 checks</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</si>
  <si>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</si>
  <si>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</si>
  <si>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t>Maximum display scale is larger or equal to the value of the minimum display scale.</t>
  </si>
  <si>
    <t>For each DataCoverage feature where the attributes maximum display scale and minimum display scale are Present AND value of maximum display scale is larger or equal to the value of the minimum display scales.</t>
  </si>
  <si>
    <t>Correct values of maximum and minimum display scales.</t>
  </si>
  <si>
    <t>Dataset contains overlapping DataCoverage features.</t>
  </si>
  <si>
    <t>For each DataCoverage feature that OVERLAPS or is WITHIN another DataCoverage.</t>
  </si>
  <si>
    <t>Remove overlap.</t>
  </si>
  <si>
    <t>DataCoverage features have different values of  the attribute minimum display scale.</t>
  </si>
  <si>
    <t>For each DataCoverage feature where the value of  the attribute minimum display scale is different from other Data Coverage meta features.</t>
  </si>
  <si>
    <t>Use the same values of minimum display scale.</t>
  </si>
  <si>
    <t>Different languages information refers to the same external file and its fragment.</t>
  </si>
  <si>
    <t>Replace with the correct fileLocator and fileReference combination.</t>
  </si>
  <si>
    <t>File reference attribute refers to a file with inadmissible format.</t>
  </si>
  <si>
    <t>For each information complex attribute where  the sub-attribute fileReference  has a file name with extension which is not equal one of .TXT or .HTM.</t>
  </si>
  <si>
    <t>Correct fileReference value and/or support file type.</t>
  </si>
  <si>
    <t>2.4.9.2</t>
  </si>
  <si>
    <t>Text attribute contains more than 300 characters.</t>
  </si>
  <si>
    <t>For each instance of the text attribute that contains more than 300 characters</t>
  </si>
  <si>
    <t>Reduce content of text attribute or move to support file.</t>
  </si>
  <si>
    <t>SpatialQuality is associated with a Surface spatial object.</t>
  </si>
  <si>
    <t>For each SpatialQuality information type which is referenced by a Surface spatial object.</t>
  </si>
  <si>
    <t>Remove prohibited association.</t>
  </si>
  <si>
    <t>Prohibited vertical uncertainty attribute of SpatialQuality for curve spatial object.</t>
  </si>
  <si>
    <t>For each SpatialQuality information type which has vertical uncertainty populated and is referenced by a Curve or Composite Curve spatial object.</t>
  </si>
  <si>
    <t>Language code not from ISO 639-2/T list.</t>
  </si>
  <si>
    <t>Correct language code.</t>
  </si>
  <si>
    <t>2.4.8.3</t>
  </si>
  <si>
    <t>Reference to S-100 languages list added. Contact NIPWG if language codes need to be added to the IHO list.</t>
  </si>
  <si>
    <t>[5.2.2]; [4.1]</t>
  </si>
  <si>
    <t>Horizontal CRS is not EPSG 4326.</t>
  </si>
  <si>
    <t>Set the horizontal CRS to EPSG 4326 using the OGC URI convention.</t>
  </si>
  <si>
    <t>Feature instance not covered by an QualityOfNonBathymetricData instance.</t>
  </si>
  <si>
    <t>For each feature instance which is not COVERED_BY the combined coverage of QualityOfNonBathymetricData  meta feature instance.</t>
  </si>
  <si>
    <t>Ensure full coverage of QualityOfNonBathymetricData instance</t>
  </si>
  <si>
    <t>Reclassified W as in S-131</t>
  </si>
  <si>
    <t>File is missing from exchange set.</t>
  </si>
  <si>
    <t>Modified to reflect use of file-less cancellation</t>
  </si>
  <si>
    <t>Values have been padded with non-significant zeroes.</t>
  </si>
  <si>
    <t>For each instance of ServiceHours with more than one instance of scheduleByDayOfWeek, and where an instance of scheduleByDayOfWeek has a temporal overlap with another instance of scheduleByDayOfWeek.</t>
  </si>
  <si>
    <t>Schema location missing or incorrect</t>
  </si>
  <si>
    <t>If there is no schemaLocation attribute on the root element of the dataset or the schemaLocation attribute does not indicate the GML schema for this edition of the Product Specification.</t>
  </si>
  <si>
    <t>Amend dataset to use correct schemaLocation</t>
  </si>
  <si>
    <t>12.1.1</t>
  </si>
  <si>
    <t>Update cannot change limits of coverages</t>
  </si>
  <si>
    <t xml:space="preserve"> An update dataset changes the limit of a DataCoverage feature for the base dataset.</t>
  </si>
  <si>
    <t>Amend DataCoverage object or create new edition</t>
  </si>
  <si>
    <t>For each information attribute where fileReference references a text file and the fileLocator attribute is populated.</t>
  </si>
  <si>
    <t>Amend fileReference or use HTML support file</t>
  </si>
  <si>
    <t>B,U</t>
  </si>
  <si>
    <t>File locator does not reference a location in the file</t>
  </si>
  <si>
    <t>For each fileLocator with a value that does not indicate a location within the referenced file.</t>
  </si>
  <si>
    <t>Amend fileLocator value</t>
  </si>
  <si>
    <t>Repeated attribute value</t>
  </si>
  <si>
    <t>For each attribute with the same values as another instance of the same attribute bound to the same feature, information type, or complex attribute</t>
  </si>
  <si>
    <t>Evaluate necessity for repetition and consider deletion of repeated instance</t>
  </si>
  <si>
    <t>B,U,S</t>
  </si>
  <si>
    <t>6.1, 6.2, 7.9.3</t>
  </si>
  <si>
    <t>[7.3]; [2.6.3]</t>
  </si>
  <si>
    <t>2.4.10.3</t>
  </si>
  <si>
    <t>7.9.1</t>
  </si>
  <si>
    <t>2.4.10.3, 10.5.1</t>
  </si>
  <si>
    <t>10.5.1</t>
  </si>
  <si>
    <t>[7.4]; [2.6.10]</t>
  </si>
  <si>
    <t>5.2.1, 17.9, various</t>
  </si>
  <si>
    <t>5.2.1, various</t>
  </si>
  <si>
    <t>Encoding instructions for features and information types using attribute information</t>
  </si>
  <si>
    <t>8.2.2, 9.1</t>
  </si>
  <si>
    <t>11.5.1</t>
  </si>
  <si>
    <t>2.4.8.5</t>
  </si>
  <si>
    <t>File locators for text files are prohibited</t>
  </si>
  <si>
    <t>Complex attribute bearingInformation must have at least one sub-attribute populated</t>
  </si>
  <si>
    <t>For each complex attribute bearingInformation with none of its sub-attributes populated</t>
  </si>
  <si>
    <t>Delete or amend bearingInformation</t>
  </si>
  <si>
    <t>8.1.2</t>
  </si>
  <si>
    <t>Feature uses curve or point spatial primitive</t>
  </si>
  <si>
    <t>Encoding MPA features as surfaces is preferred</t>
  </si>
  <si>
    <t>Re-code using surface primitive</t>
  </si>
  <si>
    <t>6.1.1</t>
  </si>
  <si>
    <t>Value required for mandatory attribute</t>
  </si>
  <si>
    <t>Populate attribute</t>
  </si>
  <si>
    <t>One of sub-attributes "designationIdentifer" and "text" must be populated</t>
  </si>
  <si>
    <t>For each MarineProtectedArea.designation where designationIdentifer and text are both missing or null</t>
  </si>
  <si>
    <t>Populate sub-attribute designationIdentifier or text</t>
  </si>
  <si>
    <t>6.3.8</t>
  </si>
  <si>
    <t>MarineProtectedArea has attribute jurisdiction multiply populated</t>
  </si>
  <si>
    <t>For each MarineProtectedArea with attribute jurisdiction populated  as a direct attribute as well as a sub-attribute of complex attribute designation</t>
  </si>
  <si>
    <t>Populate jurisdiction as either attribute or sub-attribute but not both</t>
  </si>
  <si>
    <t>6.3.7</t>
  </si>
  <si>
    <t>NIPWG/S-122 TASK GROUP</t>
  </si>
  <si>
    <t>Nilled attribute code populated with non-nil code value</t>
  </si>
  <si>
    <t>For each nillable enumeration or codelist attribute where xsi:nil=true but attribute code is present and populated with a value &gt; 0</t>
  </si>
  <si>
    <t>Amend value of code or remove nilling</t>
  </si>
  <si>
    <t>B.U</t>
  </si>
  <si>
    <t>Nilled attribute without nilReason populated</t>
  </si>
  <si>
    <t>For each nilled attribute without nilReason populated</t>
  </si>
  <si>
    <t>Populate nilReason for nilled attributes</t>
  </si>
  <si>
    <t xml:space="preserve">Duplicate identifiers exist within the dataset. </t>
  </si>
  <si>
    <t>For each feature record  where the identifier is not unique WITHIN the dataset.</t>
  </si>
  <si>
    <t>Ensure that no duplicate identifiers exist.</t>
  </si>
  <si>
    <t xml:space="preserve">Mandatory meta feature objects are missing. </t>
  </si>
  <si>
    <t>Text field is not encoded using UTF-8</t>
  </si>
  <si>
    <t>For each feature instance where more than one featureName is present, and the name and nameUsage subattributes of two or more featureName instances are equal.</t>
  </si>
  <si>
    <t xml:space="preserve">For each linear geometry, which contains vertices at a density Greater than 0.3mm at maximum display scale. </t>
  </si>
  <si>
    <t xml:space="preserve">For each instance of ServiceHours where an instance of scheduleByDayOfWeek attribute has temporal overlaps specified by timeIntervalsByDayOfWeek attribute. </t>
  </si>
  <si>
    <t>For each file referenced by the catalogue file in the exchange set and not present in the exchange set and not cancelled by discovery metadata</t>
  </si>
  <si>
    <t>dateEnd precedes or coincides with dateStart</t>
  </si>
  <si>
    <t>For each fixedDateRange where dateEnd and dateStart are not Null and dateEnd precedes or coincides with dateStart.</t>
  </si>
  <si>
    <t>For each cancellation (termination) of a dataset (discovery metadata record with purpose=cancellation) where the exchange set contains a corresponding dataset file</t>
  </si>
  <si>
    <t>Remove the dataset file from the exchange set or correct the discovery metadata</t>
  </si>
  <si>
    <r>
      <t xml:space="preserve">For each feature, information type or complex attribute where two or more </t>
    </r>
    <r>
      <rPr>
        <i/>
        <sz val="10"/>
        <rFont val="Calibri"/>
        <family val="2"/>
        <scheme val="minor"/>
      </rPr>
      <t>information</t>
    </r>
    <r>
      <rPr>
        <sz val="10"/>
        <rFont val="Calibri"/>
        <family val="2"/>
        <scheme val="minor"/>
      </rPr>
      <t xml:space="preserve"> complex attributes are present AND they have different language value AND identical pair of  notNull values of the sub-attributes fileLocator and fileReference.</t>
    </r>
  </si>
  <si>
    <r>
      <t xml:space="preserve">For each </t>
    </r>
    <r>
      <rPr>
        <i/>
        <sz val="10"/>
        <rFont val="Calibri"/>
        <family val="2"/>
        <scheme val="minor"/>
      </rPr>
      <t>language</t>
    </r>
    <r>
      <rPr>
        <sz val="10"/>
        <rFont val="Calibri"/>
        <family val="2"/>
        <scheme val="minor"/>
      </rPr>
      <t xml:space="preserve"> attribute which is populated with a value other than one of the 3-character ISO 639-2/T codes in the S-100 languages list on the schema server.</t>
    </r>
  </si>
  <si>
    <t>Redundancy check.</t>
  </si>
  <si>
    <t>Remarks for textContent, from GI registry</t>
  </si>
  <si>
    <t>Remarks for information complex attribute from GI registry</t>
  </si>
  <si>
    <t>12.10</t>
  </si>
  <si>
    <t>[12.13]; [5.2.1]</t>
  </si>
  <si>
    <t>[12.13]; [10.4]</t>
  </si>
  <si>
    <t>4.3.2</t>
  </si>
  <si>
    <t>4.3.1</t>
  </si>
  <si>
    <t>12.2.1</t>
  </si>
  <si>
    <t>For each attribute binding listed in in DCEG clause 2.4 as not nillable AND which is not populated</t>
  </si>
  <si>
    <t>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</si>
</sst>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10">
    <font>
      <sz val="11"/>
      <color theme="1"/>
      <name val="Calibri"/>
      <charset val="134"/>
      <scheme val="minor"/>
    </font>
    <font>
      <sz val="10"/>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i/>
      <sz val="12"/>
      <color theme="9" tint="-0.249977111117893"/>
      <name val="Calibri"/>
      <family val="2"/>
      <scheme val="minor"/>
    </font>
    <font>
      <sz val="11"/>
      <color rgb="FF9C6500"/>
      <name val="Calibri"/>
      <family val="2"/>
      <scheme val="minor"/>
    </font>
    <font>
      <sz val="11"/>
      <color rgb="FF006100"/>
      <name val="Calibri"/>
      <family val="2"/>
      <scheme val="minor"/>
    </font>
    <font>
      <i/>
      <sz val="12"/>
      <color theme="9" tint="-0.249977111117893"/>
      <name val="Calibri"/>
      <family val="2"/>
      <scheme val="minor"/>
    </font>
    <font>
      <i/>
      <sz val="10"/>
      <name val="Calibri"/>
      <family val="2"/>
      <scheme val="minor"/>
    </font>
  </fonts>
  <fills count="11">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rgb="FFC6EFCE"/>
        <bgColor indexed="64"/>
      </patternFill>
    </fill>
    <fill>
      <patternFill patternType="solid">
        <fgColor theme="0" tint="-0.14996795556505021"/>
        <bgColor indexed="64"/>
      </patternFill>
    </fill>
    <fill>
      <patternFill patternType="solid">
        <fgColor rgb="FFFFFFFF"/>
        <bgColor indexed="64"/>
      </patternFill>
    </fill>
  </fills>
  <borders count="28">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auto="1"/>
      </top>
      <bottom style="medium">
        <color rgb="FF000000"/>
      </bottom>
      <diagonal/>
    </border>
    <border>
      <left style="medium">
        <color rgb="FF000000"/>
      </left>
      <right style="medium">
        <color auto="1"/>
      </right>
      <top style="medium">
        <color auto="1"/>
      </top>
      <bottom style="medium">
        <color rgb="FF000000"/>
      </bottom>
      <diagonal/>
    </border>
    <border>
      <left style="medium">
        <color rgb="FF000000"/>
      </left>
      <right style="medium">
        <color auto="1"/>
      </right>
      <top style="medium">
        <color rgb="FF000000"/>
      </top>
      <bottom style="medium">
        <color rgb="FF000000"/>
      </bottom>
      <diagonal/>
    </border>
    <border>
      <left style="medium">
        <color auto="1"/>
      </left>
      <right style="medium">
        <color auto="1"/>
      </right>
      <top style="medium">
        <color auto="1"/>
      </top>
      <bottom/>
      <diagonal/>
    </border>
    <border>
      <left style="medium">
        <color auto="1"/>
      </left>
      <right style="medium">
        <color rgb="FF000000"/>
      </right>
      <top style="medium">
        <color auto="1"/>
      </top>
      <bottom style="medium">
        <color auto="1"/>
      </bottom>
      <diagonal/>
    </border>
    <border>
      <left style="thin">
        <color auto="1"/>
      </left>
      <right/>
      <top style="thin">
        <color auto="1"/>
      </top>
      <bottom style="thin">
        <color auto="1"/>
      </bottom>
      <diagonal/>
    </border>
    <border>
      <left style="medium">
        <color rgb="FF000000"/>
      </left>
      <right style="medium">
        <color rgb="FF000000"/>
      </right>
      <top style="medium">
        <color rgb="FF000000"/>
      </top>
      <bottom/>
      <diagonal/>
    </border>
  </borders>
  <cellStyleXfs count="3">
    <xf numFmtId="0" fontId="0" fillId="0" borderId="0"/>
    <xf numFmtId="0" fontId="6" fillId="7" borderId="0" applyNumberFormat="0" applyBorder="0" applyAlignment="0" applyProtection="0"/>
    <xf numFmtId="0" fontId="7" fillId="8" borderId="0" applyNumberFormat="0" applyBorder="0" applyAlignment="0" applyProtection="0"/>
  </cellStyleXfs>
  <cellXfs count="91">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wrapText="1"/>
    </xf>
    <xf numFmtId="0" fontId="1"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2" fillId="0" borderId="0" xfId="0" applyFont="1"/>
    <xf numFmtId="0" fontId="0" fillId="0" borderId="0" xfId="0" applyAlignment="1">
      <alignment horizontal="right" vertical="center"/>
    </xf>
    <xf numFmtId="0" fontId="0" fillId="0" borderId="0" xfId="0" applyAlignment="1">
      <alignment horizontal="right"/>
    </xf>
    <xf numFmtId="0" fontId="4" fillId="4" borderId="7" xfId="0" applyFont="1" applyFill="1" applyBorder="1" applyAlignment="1">
      <alignment horizontal="right" vertical="center"/>
    </xf>
    <xf numFmtId="0" fontId="5" fillId="3" borderId="0" xfId="0" applyFont="1" applyFill="1" applyAlignment="1">
      <alignment horizontal="left" vertical="center"/>
    </xf>
    <xf numFmtId="0" fontId="2" fillId="3" borderId="0" xfId="0" applyFont="1" applyFill="1"/>
    <xf numFmtId="0" fontId="5" fillId="3" borderId="0" xfId="0" applyFont="1" applyFill="1" applyAlignment="1">
      <alignment horizontal="center" vertical="center"/>
    </xf>
    <xf numFmtId="165" fontId="5" fillId="3" borderId="0" xfId="0" applyNumberFormat="1" applyFont="1" applyFill="1" applyAlignment="1">
      <alignment horizontal="center" vertical="center"/>
    </xf>
    <xf numFmtId="164" fontId="5" fillId="3" borderId="0" xfId="0" applyNumberFormat="1" applyFont="1" applyFill="1" applyAlignment="1">
      <alignment horizontal="center" vertical="center"/>
    </xf>
    <xf numFmtId="14" fontId="5" fillId="3" borderId="0" xfId="0" applyNumberFormat="1" applyFont="1" applyFill="1" applyAlignment="1">
      <alignment horizontal="center" vertical="center"/>
    </xf>
    <xf numFmtId="0" fontId="4" fillId="5" borderId="7" xfId="0" applyFont="1" applyFill="1" applyBorder="1" applyAlignment="1">
      <alignment horizontal="right" vertical="center"/>
    </xf>
    <xf numFmtId="0" fontId="4" fillId="5" borderId="0" xfId="0" applyFont="1" applyFill="1" applyAlignment="1">
      <alignment horizontal="center" vertical="center"/>
    </xf>
    <xf numFmtId="0" fontId="4" fillId="5" borderId="0" xfId="0" applyFont="1" applyFill="1"/>
    <xf numFmtId="0" fontId="5" fillId="3" borderId="8" xfId="0" applyFont="1" applyFill="1" applyBorder="1"/>
    <xf numFmtId="0" fontId="5" fillId="3" borderId="9" xfId="0" applyFont="1" applyFill="1" applyBorder="1" applyAlignment="1">
      <alignment horizontal="left" vertical="center"/>
    </xf>
    <xf numFmtId="0" fontId="5" fillId="3" borderId="0" xfId="0" applyFont="1" applyFill="1" applyAlignment="1">
      <alignment horizontal="left"/>
    </xf>
    <xf numFmtId="0" fontId="2" fillId="3" borderId="9" xfId="0" applyFont="1" applyFill="1" applyBorder="1" applyAlignment="1">
      <alignment horizontal="left"/>
    </xf>
    <xf numFmtId="0" fontId="2" fillId="3" borderId="9" xfId="0" applyFont="1" applyFill="1" applyBorder="1"/>
    <xf numFmtId="0" fontId="2" fillId="3" borderId="0" xfId="0" applyFont="1" applyFill="1" applyAlignment="1">
      <alignment horizontal="left"/>
    </xf>
    <xf numFmtId="0" fontId="2" fillId="3" borderId="11" xfId="0" applyFont="1" applyFill="1" applyBorder="1" applyAlignment="1">
      <alignment horizontal="right" vertical="center"/>
    </xf>
    <xf numFmtId="0" fontId="2" fillId="3" borderId="12" xfId="0" applyFont="1" applyFill="1" applyBorder="1" applyAlignment="1">
      <alignment horizontal="right"/>
    </xf>
    <xf numFmtId="0" fontId="2" fillId="3" borderId="12" xfId="0" applyFont="1" applyFill="1" applyBorder="1"/>
    <xf numFmtId="0" fontId="2" fillId="0" borderId="0" xfId="0" applyFont="1" applyAlignment="1">
      <alignment horizontal="right" vertical="center"/>
    </xf>
    <xf numFmtId="0" fontId="2" fillId="0" borderId="0" xfId="0" applyFont="1" applyAlignment="1">
      <alignment horizontal="right"/>
    </xf>
    <xf numFmtId="0" fontId="3" fillId="0" borderId="0" xfId="0" applyFont="1"/>
    <xf numFmtId="0" fontId="2" fillId="3" borderId="14" xfId="0" applyFont="1" applyFill="1" applyBorder="1"/>
    <xf numFmtId="0" fontId="4" fillId="6" borderId="0" xfId="0" applyFont="1" applyFill="1"/>
    <xf numFmtId="0" fontId="5" fillId="3" borderId="0" xfId="0" applyFont="1" applyFill="1"/>
    <xf numFmtId="0" fontId="5" fillId="3" borderId="9" xfId="0" applyFont="1" applyFill="1" applyBorder="1"/>
    <xf numFmtId="0" fontId="5" fillId="3" borderId="10" xfId="0" applyFont="1" applyFill="1" applyBorder="1"/>
    <xf numFmtId="0" fontId="2" fillId="3" borderId="15" xfId="0" applyFont="1" applyFill="1" applyBorder="1"/>
    <xf numFmtId="49" fontId="8" fillId="3" borderId="0" xfId="0" applyNumberFormat="1" applyFont="1" applyFill="1" applyAlignment="1">
      <alignment horizontal="center"/>
    </xf>
    <xf numFmtId="0" fontId="8" fillId="3" borderId="8" xfId="0" applyFont="1" applyFill="1" applyBorder="1"/>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8" fillId="3" borderId="0" xfId="0" applyFont="1" applyFill="1" applyAlignment="1">
      <alignment horizontal="left" vertical="center"/>
    </xf>
    <xf numFmtId="0" fontId="8" fillId="3" borderId="10" xfId="0" applyFont="1" applyFill="1" applyBorder="1" applyAlignment="1">
      <alignment horizontal="left"/>
    </xf>
    <xf numFmtId="0" fontId="8" fillId="3" borderId="0" xfId="0" applyFont="1" applyFill="1"/>
    <xf numFmtId="0" fontId="1" fillId="0" borderId="1" xfId="0" applyFont="1" applyBorder="1"/>
    <xf numFmtId="0" fontId="1" fillId="0" borderId="1" xfId="0" applyFont="1" applyBorder="1" applyAlignment="1">
      <alignment wrapText="1"/>
    </xf>
    <xf numFmtId="0" fontId="1" fillId="0" borderId="18" xfId="0" applyFont="1" applyBorder="1" applyAlignment="1">
      <alignment horizontal="left" vertical="center" wrapText="1"/>
    </xf>
    <xf numFmtId="0" fontId="1" fillId="0" borderId="19" xfId="0" applyFont="1" applyBorder="1" applyAlignment="1">
      <alignment horizontal="justify" vertical="center" wrapText="1"/>
    </xf>
    <xf numFmtId="0" fontId="1" fillId="0" borderId="18" xfId="0" applyFont="1" applyBorder="1" applyAlignment="1">
      <alignment horizontal="left" wrapText="1"/>
    </xf>
    <xf numFmtId="0" fontId="1" fillId="10" borderId="19" xfId="0" applyFont="1" applyFill="1" applyBorder="1" applyAlignment="1">
      <alignment horizontal="justify" vertical="center" wrapText="1"/>
    </xf>
    <xf numFmtId="0" fontId="1" fillId="0" borderId="3" xfId="0" applyFont="1" applyBorder="1" applyAlignment="1">
      <alignment horizontal="left" vertical="center" wrapText="1"/>
    </xf>
    <xf numFmtId="0" fontId="1" fillId="0" borderId="26" xfId="0" applyFont="1" applyBorder="1" applyAlignment="1">
      <alignment horizontal="center" vertical="center" wrapText="1"/>
    </xf>
    <xf numFmtId="0" fontId="1" fillId="0" borderId="1" xfId="0" applyFont="1" applyBorder="1" applyAlignment="1">
      <alignment horizontal="left" wrapText="1"/>
    </xf>
    <xf numFmtId="0" fontId="1" fillId="0" borderId="25" xfId="0" applyFont="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10" borderId="1" xfId="0" applyFont="1" applyFill="1" applyBorder="1" applyAlignment="1">
      <alignment horizontal="justify" vertical="center" wrapText="1"/>
    </xf>
    <xf numFmtId="0" fontId="1" fillId="9" borderId="1" xfId="0" applyFont="1" applyFill="1" applyBorder="1" applyAlignment="1">
      <alignment vertical="center" wrapText="1"/>
    </xf>
    <xf numFmtId="0" fontId="1" fillId="2" borderId="1" xfId="0" applyFont="1" applyFill="1" applyBorder="1" applyAlignment="1">
      <alignment vertical="center" wrapText="1"/>
    </xf>
    <xf numFmtId="0" fontId="1" fillId="2" borderId="24" xfId="0" applyFont="1" applyFill="1" applyBorder="1" applyAlignment="1">
      <alignment vertical="center" wrapText="1"/>
    </xf>
    <xf numFmtId="0" fontId="1" fillId="9" borderId="24" xfId="0" applyFont="1" applyFill="1" applyBorder="1" applyAlignment="1">
      <alignment vertical="center" wrapText="1"/>
    </xf>
    <xf numFmtId="0" fontId="1" fillId="9" borderId="0" xfId="0" applyFont="1" applyFill="1" applyAlignment="1">
      <alignment wrapText="1"/>
    </xf>
    <xf numFmtId="0" fontId="1" fillId="10" borderId="18" xfId="0" applyFont="1" applyFill="1" applyBorder="1" applyAlignment="1">
      <alignment horizontal="justify" vertical="center" wrapText="1"/>
    </xf>
    <xf numFmtId="0" fontId="1" fillId="0" borderId="21" xfId="0" applyFont="1" applyBorder="1" applyAlignment="1">
      <alignment horizontal="left" vertical="center" wrapText="1"/>
    </xf>
    <xf numFmtId="0" fontId="1" fillId="0" borderId="18" xfId="1" applyFont="1" applyFill="1" applyBorder="1" applyAlignment="1">
      <alignment horizontal="left" vertical="center" wrapText="1"/>
    </xf>
    <xf numFmtId="0" fontId="1" fillId="0" borderId="18" xfId="2" applyFont="1" applyFill="1" applyBorder="1" applyAlignment="1">
      <alignment horizontal="left" vertical="center" wrapText="1"/>
    </xf>
    <xf numFmtId="49" fontId="1" fillId="0" borderId="18" xfId="1" applyNumberFormat="1" applyFont="1" applyFill="1" applyBorder="1" applyAlignment="1">
      <alignment horizontal="left" vertical="center" wrapText="1"/>
    </xf>
    <xf numFmtId="0" fontId="1" fillId="0" borderId="4" xfId="0" applyFont="1" applyBorder="1" applyAlignment="1">
      <alignment horizontal="center" vertical="center"/>
    </xf>
    <xf numFmtId="0" fontId="1" fillId="10" borderId="18" xfId="0" applyFont="1" applyFill="1" applyBorder="1" applyAlignment="1">
      <alignment horizontal="left" vertical="center" wrapText="1"/>
    </xf>
    <xf numFmtId="0" fontId="1" fillId="0" borderId="18" xfId="0" applyFont="1" applyBorder="1" applyAlignment="1">
      <alignment wrapText="1"/>
    </xf>
    <xf numFmtId="0" fontId="1" fillId="10" borderId="20" xfId="0" applyFont="1" applyFill="1" applyBorder="1" applyAlignment="1">
      <alignment horizontal="justify" vertical="center" wrapText="1"/>
    </xf>
    <xf numFmtId="0" fontId="1" fillId="0" borderId="27" xfId="0" applyFont="1" applyBorder="1" applyAlignment="1">
      <alignment horizontal="left" wrapText="1"/>
    </xf>
    <xf numFmtId="0" fontId="1" fillId="0" borderId="19" xfId="0" applyFont="1" applyBorder="1" applyAlignment="1">
      <alignment horizontal="left" wrapText="1"/>
    </xf>
    <xf numFmtId="0" fontId="1" fillId="0" borderId="1" xfId="0" applyFont="1" applyBorder="1" applyAlignment="1">
      <alignment horizontal="justify" vertical="center" wrapText="1"/>
    </xf>
    <xf numFmtId="0" fontId="1" fillId="0" borderId="0" xfId="0" applyFont="1" applyAlignment="1">
      <alignment horizontal="left" wrapText="1"/>
    </xf>
    <xf numFmtId="0" fontId="1" fillId="0" borderId="0" xfId="0" applyFont="1" applyAlignment="1">
      <alignment vertical="center"/>
    </xf>
    <xf numFmtId="49" fontId="1" fillId="9" borderId="1" xfId="0" applyNumberFormat="1" applyFont="1" applyFill="1" applyBorder="1" applyAlignment="1">
      <alignment horizontal="center" vertical="center" wrapText="1"/>
    </xf>
    <xf numFmtId="49" fontId="1" fillId="0" borderId="22" xfId="0" applyNumberFormat="1" applyFont="1" applyBorder="1" applyAlignment="1">
      <alignment horizontal="center" vertical="center" wrapText="1"/>
    </xf>
    <xf numFmtId="49" fontId="1" fillId="0" borderId="23"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49" fontId="1" fillId="0" borderId="23" xfId="0" applyNumberFormat="1" applyFont="1" applyBorder="1" applyAlignment="1">
      <alignment horizontal="center" wrapText="1"/>
    </xf>
    <xf numFmtId="49" fontId="1" fillId="0" borderId="1" xfId="0" applyNumberFormat="1" applyFont="1" applyBorder="1" applyAlignment="1">
      <alignment horizontal="center" wrapText="1"/>
    </xf>
    <xf numFmtId="49" fontId="1" fillId="0" borderId="0" xfId="0" applyNumberFormat="1" applyFont="1" applyAlignment="1">
      <alignment horizontal="center" wrapText="1"/>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3" xfId="0" applyFont="1" applyFill="1" applyBorder="1" applyAlignment="1">
      <alignment horizontal="center" vertical="center"/>
    </xf>
    <xf numFmtId="0" fontId="4" fillId="5" borderId="7" xfId="0" applyFont="1" applyFill="1" applyBorder="1" applyAlignment="1">
      <alignment horizontal="right" vertical="center"/>
    </xf>
  </cellXfs>
  <cellStyles count="3">
    <cellStyle name="Good" xfId="2" builtinId="26"/>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workbookViewId="0">
      <selection activeCell="C9" sqref="C9"/>
    </sheetView>
  </sheetViews>
  <sheetFormatPr defaultColWidth="9" defaultRowHeight="15"/>
  <cols>
    <col min="1" max="1" width="4.85546875" customWidth="1"/>
    <col min="2" max="2" width="20.85546875" style="9" customWidth="1"/>
    <col min="3" max="3" width="36.42578125" style="10" customWidth="1"/>
    <col min="4" max="4" width="12.42578125" customWidth="1"/>
    <col min="5" max="6" width="14.7109375" customWidth="1"/>
    <col min="7" max="7" width="6.42578125" customWidth="1"/>
  </cols>
  <sheetData>
    <row r="2" spans="2:8" ht="33.6" customHeight="1">
      <c r="B2" s="87" t="s">
        <v>79</v>
      </c>
      <c r="C2" s="88"/>
      <c r="D2" s="88"/>
      <c r="E2" s="88"/>
      <c r="F2" s="88"/>
      <c r="G2" s="89"/>
      <c r="H2" s="32"/>
    </row>
    <row r="3" spans="2:8" s="8" customFormat="1" ht="20.45" customHeight="1">
      <c r="B3" s="11" t="s">
        <v>0</v>
      </c>
      <c r="C3" s="12" t="s">
        <v>74</v>
      </c>
      <c r="D3" s="13"/>
      <c r="E3" s="13"/>
      <c r="F3" s="13"/>
      <c r="G3" s="33"/>
    </row>
    <row r="4" spans="2:8" s="8" customFormat="1" ht="20.45" customHeight="1">
      <c r="B4" s="11" t="s">
        <v>1</v>
      </c>
      <c r="C4" s="43" t="s">
        <v>75</v>
      </c>
      <c r="D4" s="13"/>
      <c r="E4" s="13"/>
      <c r="F4" s="13"/>
      <c r="G4" s="33"/>
    </row>
    <row r="5" spans="2:8" s="8" customFormat="1" ht="20.45" customHeight="1">
      <c r="B5" s="11" t="s">
        <v>2</v>
      </c>
      <c r="C5" s="12" t="s">
        <v>3</v>
      </c>
      <c r="D5" s="13"/>
      <c r="E5" s="13"/>
      <c r="F5" s="13"/>
      <c r="G5" s="33"/>
    </row>
    <row r="6" spans="2:8" s="8" customFormat="1" ht="20.45" customHeight="1">
      <c r="B6" s="11" t="s">
        <v>4</v>
      </c>
      <c r="C6" s="14" t="s">
        <v>27</v>
      </c>
      <c r="D6" s="13"/>
      <c r="E6" s="13"/>
      <c r="F6" s="13"/>
      <c r="G6" s="33"/>
    </row>
    <row r="7" spans="2:8" s="8" customFormat="1" ht="20.45" customHeight="1">
      <c r="B7" s="11" t="s">
        <v>5</v>
      </c>
      <c r="C7" s="39" t="s">
        <v>31</v>
      </c>
      <c r="D7" s="13"/>
      <c r="E7" s="13"/>
      <c r="F7" s="13"/>
      <c r="G7" s="33"/>
    </row>
    <row r="8" spans="2:8" s="8" customFormat="1" ht="20.45" customHeight="1">
      <c r="B8" s="11" t="s">
        <v>6</v>
      </c>
      <c r="C8" s="15">
        <v>46104</v>
      </c>
      <c r="D8" s="13"/>
      <c r="E8" s="13"/>
      <c r="F8" s="13"/>
      <c r="G8" s="33"/>
    </row>
    <row r="9" spans="2:8" s="8" customFormat="1" ht="20.45" customHeight="1">
      <c r="B9" s="11" t="s">
        <v>7</v>
      </c>
      <c r="C9" s="16">
        <v>46023</v>
      </c>
      <c r="D9" s="13"/>
      <c r="E9" s="13"/>
      <c r="F9" s="13"/>
      <c r="G9" s="33"/>
    </row>
    <row r="10" spans="2:8" s="8" customFormat="1" ht="20.45" customHeight="1">
      <c r="B10" s="11" t="s">
        <v>8</v>
      </c>
      <c r="C10" s="17" t="s">
        <v>9</v>
      </c>
      <c r="D10" s="13"/>
      <c r="E10" s="13"/>
      <c r="F10" s="13"/>
      <c r="G10" s="33"/>
    </row>
    <row r="11" spans="2:8" s="8" customFormat="1" ht="20.45" customHeight="1">
      <c r="B11" s="11" t="s">
        <v>10</v>
      </c>
      <c r="C11" s="14" t="s">
        <v>285</v>
      </c>
      <c r="D11" s="13"/>
      <c r="E11" s="13"/>
      <c r="F11" s="13"/>
      <c r="G11" s="33"/>
    </row>
    <row r="12" spans="2:8" s="8" customFormat="1" ht="15" customHeight="1">
      <c r="B12" s="18"/>
      <c r="C12" s="19" t="s">
        <v>1</v>
      </c>
      <c r="D12" s="20" t="s">
        <v>11</v>
      </c>
      <c r="E12" s="34" t="s">
        <v>12</v>
      </c>
      <c r="F12" s="34"/>
      <c r="G12" s="33"/>
    </row>
    <row r="13" spans="2:8" s="8" customFormat="1" ht="20.45" customHeight="1">
      <c r="B13" s="90" t="s">
        <v>13</v>
      </c>
      <c r="C13" s="12" t="s">
        <v>76</v>
      </c>
      <c r="D13" s="40" t="s">
        <v>28</v>
      </c>
      <c r="E13" s="21"/>
      <c r="F13" s="35"/>
      <c r="G13" s="33"/>
    </row>
    <row r="14" spans="2:8" s="8" customFormat="1" ht="20.45" customHeight="1">
      <c r="B14" s="90"/>
      <c r="C14" s="22" t="s">
        <v>77</v>
      </c>
      <c r="D14" s="40" t="s">
        <v>28</v>
      </c>
      <c r="E14" s="36"/>
      <c r="F14" s="37"/>
      <c r="G14" s="33"/>
    </row>
    <row r="15" spans="2:8" s="8" customFormat="1" ht="20.45" customHeight="1">
      <c r="B15" s="90"/>
      <c r="C15" s="23" t="s">
        <v>78</v>
      </c>
      <c r="D15" s="40" t="s">
        <v>28</v>
      </c>
      <c r="E15" s="35"/>
      <c r="F15" s="36"/>
      <c r="G15" s="33"/>
    </row>
    <row r="16" spans="2:8" s="8" customFormat="1" ht="20.45" customHeight="1">
      <c r="B16" s="90"/>
      <c r="C16" s="44" t="s">
        <v>29</v>
      </c>
      <c r="D16" s="45" t="s">
        <v>30</v>
      </c>
      <c r="E16" s="25"/>
      <c r="F16" s="25"/>
      <c r="G16" s="33"/>
    </row>
    <row r="17" spans="2:7" s="8" customFormat="1" ht="20.45" customHeight="1">
      <c r="B17" s="90"/>
      <c r="C17" s="24"/>
      <c r="D17" s="25"/>
      <c r="E17" s="25"/>
      <c r="F17" s="25"/>
      <c r="G17" s="33"/>
    </row>
    <row r="18" spans="2:7" s="8" customFormat="1" ht="20.45" customHeight="1">
      <c r="B18" s="90"/>
      <c r="C18" s="26"/>
      <c r="D18" s="13"/>
      <c r="E18" s="13"/>
      <c r="F18" s="13"/>
      <c r="G18" s="33"/>
    </row>
    <row r="19" spans="2:7" s="8" customFormat="1" ht="20.45" customHeight="1">
      <c r="B19" s="27"/>
      <c r="C19" s="28"/>
      <c r="D19" s="29"/>
      <c r="E19" s="29"/>
      <c r="F19" s="29"/>
      <c r="G19" s="38"/>
    </row>
    <row r="20" spans="2:7" s="8" customFormat="1" ht="20.45" customHeight="1">
      <c r="B20" s="30"/>
      <c r="C20" s="31"/>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3"/>
  <sheetViews>
    <sheetView tabSelected="1" zoomScaleNormal="100" workbookViewId="0">
      <pane ySplit="1" topLeftCell="A54" activePane="bottomLeft" state="frozen"/>
      <selection pane="bottomLeft" activeCell="G62" sqref="G62"/>
    </sheetView>
  </sheetViews>
  <sheetFormatPr defaultColWidth="11.42578125" defaultRowHeight="12.75"/>
  <cols>
    <col min="1" max="1" width="12.42578125" style="2" customWidth="1"/>
    <col min="2" max="2" width="11.42578125" style="3"/>
    <col min="3" max="3" width="11.42578125" style="2"/>
    <col min="4" max="4" width="34.5703125" style="4" customWidth="1"/>
    <col min="5" max="5" width="57.28515625" style="4" customWidth="1"/>
    <col min="6" max="6" width="34.140625" style="4" customWidth="1"/>
    <col min="7" max="7" width="17.7109375" style="79" customWidth="1"/>
    <col min="8" max="8" width="11.42578125" style="86" customWidth="1"/>
    <col min="9" max="9" width="10.28515625" style="1" customWidth="1"/>
    <col min="10" max="10" width="9.28515625" style="1" customWidth="1"/>
    <col min="11" max="11" width="8.85546875" style="1" customWidth="1"/>
    <col min="12" max="12" width="9.42578125" style="4" customWidth="1"/>
    <col min="13" max="13" width="25.5703125" style="4" customWidth="1"/>
    <col min="14" max="14" width="11.42578125" style="4"/>
    <col min="15" max="16384" width="11.42578125" style="1"/>
  </cols>
  <sheetData>
    <row r="1" spans="1:13" ht="30" customHeight="1" thickBot="1">
      <c r="A1" s="5" t="s">
        <v>14</v>
      </c>
      <c r="B1" s="5" t="s">
        <v>15</v>
      </c>
      <c r="C1" s="5" t="s">
        <v>16</v>
      </c>
      <c r="D1" s="5" t="s">
        <v>17</v>
      </c>
      <c r="E1" s="5" t="s">
        <v>18</v>
      </c>
      <c r="F1" s="5" t="s">
        <v>19</v>
      </c>
      <c r="G1" s="61" t="s">
        <v>20</v>
      </c>
      <c r="H1" s="80" t="s">
        <v>21</v>
      </c>
      <c r="I1" s="62" t="s">
        <v>22</v>
      </c>
      <c r="J1" s="63" t="s">
        <v>23</v>
      </c>
      <c r="K1" s="63" t="s">
        <v>24</v>
      </c>
      <c r="L1" s="64" t="s">
        <v>72</v>
      </c>
      <c r="M1" s="65" t="s">
        <v>73</v>
      </c>
    </row>
    <row r="2" spans="1:13" ht="26.25" thickBot="1">
      <c r="A2" s="41" t="s">
        <v>124</v>
      </c>
      <c r="B2" s="42" t="str">
        <f>_xlfn.CONCAT("122_", TEXT(ROW()-1, "0000"))</f>
        <v>122_0001</v>
      </c>
      <c r="C2" s="6" t="s">
        <v>189</v>
      </c>
      <c r="D2" s="66" t="s">
        <v>35</v>
      </c>
      <c r="E2" s="66" t="s">
        <v>80</v>
      </c>
      <c r="F2" s="67" t="s">
        <v>50</v>
      </c>
      <c r="G2" s="66" t="s">
        <v>25</v>
      </c>
      <c r="H2" s="81">
        <v>7.3</v>
      </c>
      <c r="I2" s="47" t="s">
        <v>31</v>
      </c>
      <c r="J2" s="46"/>
      <c r="K2" s="46"/>
      <c r="L2" s="60" t="s">
        <v>69</v>
      </c>
      <c r="M2" s="47" t="s">
        <v>163</v>
      </c>
    </row>
    <row r="3" spans="1:13" ht="26.25" thickBot="1">
      <c r="A3" s="41" t="s">
        <v>125</v>
      </c>
      <c r="B3" s="42" t="str">
        <f t="shared" ref="B3:B41" si="0">_xlfn.CONCAT("122_", TEXT(ROW()-1, "0000"))</f>
        <v>122_0002</v>
      </c>
      <c r="C3" s="7" t="s">
        <v>189</v>
      </c>
      <c r="D3" s="51" t="s">
        <v>293</v>
      </c>
      <c r="E3" s="51" t="s">
        <v>294</v>
      </c>
      <c r="F3" s="48" t="s">
        <v>295</v>
      </c>
      <c r="G3" s="51" t="s">
        <v>25</v>
      </c>
      <c r="H3" s="81">
        <v>12.8</v>
      </c>
      <c r="I3" s="47" t="s">
        <v>31</v>
      </c>
      <c r="J3" s="46"/>
      <c r="K3" s="46"/>
      <c r="L3" s="60" t="s">
        <v>71</v>
      </c>
      <c r="M3" s="47" t="s">
        <v>163</v>
      </c>
    </row>
    <row r="4" spans="1:13" ht="39" thickBot="1">
      <c r="A4" s="41" t="s">
        <v>126</v>
      </c>
      <c r="B4" s="42" t="str">
        <f t="shared" si="0"/>
        <v>122_0003</v>
      </c>
      <c r="C4" s="7" t="s">
        <v>185</v>
      </c>
      <c r="D4" s="51" t="s">
        <v>296</v>
      </c>
      <c r="E4" s="51" t="s">
        <v>81</v>
      </c>
      <c r="F4" s="48" t="s">
        <v>110</v>
      </c>
      <c r="G4" s="51" t="s">
        <v>68</v>
      </c>
      <c r="H4" s="81">
        <v>4.2</v>
      </c>
      <c r="I4" s="47" t="s">
        <v>31</v>
      </c>
      <c r="J4" s="46"/>
      <c r="K4" s="46"/>
      <c r="L4" s="60" t="s">
        <v>69</v>
      </c>
      <c r="M4" s="47" t="s">
        <v>163</v>
      </c>
    </row>
    <row r="5" spans="1:13" ht="39" thickBot="1">
      <c r="A5" s="41" t="s">
        <v>127</v>
      </c>
      <c r="B5" s="42" t="str">
        <f t="shared" si="0"/>
        <v>122_0004</v>
      </c>
      <c r="C5" s="7" t="s">
        <v>168</v>
      </c>
      <c r="D5" s="51" t="s">
        <v>234</v>
      </c>
      <c r="E5" s="51" t="s">
        <v>32</v>
      </c>
      <c r="F5" s="68" t="s">
        <v>51</v>
      </c>
      <c r="G5" s="51" t="s">
        <v>25</v>
      </c>
      <c r="H5" s="81">
        <v>12.4</v>
      </c>
      <c r="I5" s="47" t="s">
        <v>31</v>
      </c>
      <c r="J5" s="47"/>
      <c r="K5" s="47"/>
      <c r="L5" s="60" t="s">
        <v>70</v>
      </c>
      <c r="M5" s="47" t="s">
        <v>163</v>
      </c>
    </row>
    <row r="6" spans="1:13" ht="26.25" thickBot="1">
      <c r="A6" s="41" t="s">
        <v>128</v>
      </c>
      <c r="B6" s="42" t="str">
        <f t="shared" si="0"/>
        <v>122_0005</v>
      </c>
      <c r="C6" s="7" t="s">
        <v>168</v>
      </c>
      <c r="D6" s="51" t="s">
        <v>99</v>
      </c>
      <c r="E6" s="51" t="s">
        <v>82</v>
      </c>
      <c r="F6" s="68" t="s">
        <v>52</v>
      </c>
      <c r="G6" s="51" t="s">
        <v>164</v>
      </c>
      <c r="H6" s="82" t="s">
        <v>225</v>
      </c>
      <c r="I6" s="47" t="s">
        <v>31</v>
      </c>
      <c r="J6" s="47"/>
      <c r="K6" s="47"/>
      <c r="L6" s="60" t="s">
        <v>69</v>
      </c>
      <c r="M6" s="47" t="s">
        <v>165</v>
      </c>
    </row>
    <row r="7" spans="1:13" ht="39" thickBot="1">
      <c r="A7" s="41" t="s">
        <v>129</v>
      </c>
      <c r="B7" s="42" t="str">
        <f t="shared" si="0"/>
        <v>122_0006</v>
      </c>
      <c r="C7" s="6" t="s">
        <v>189</v>
      </c>
      <c r="D7" s="51" t="s">
        <v>190</v>
      </c>
      <c r="E7" s="51" t="s">
        <v>297</v>
      </c>
      <c r="F7" s="69" t="s">
        <v>111</v>
      </c>
      <c r="G7" s="51" t="s">
        <v>25</v>
      </c>
      <c r="H7" s="81">
        <v>12.5</v>
      </c>
      <c r="I7" s="47" t="s">
        <v>31</v>
      </c>
      <c r="J7" s="47" t="s">
        <v>26</v>
      </c>
      <c r="K7" s="47"/>
      <c r="L7" s="60" t="s">
        <v>70</v>
      </c>
      <c r="M7" s="47" t="s">
        <v>191</v>
      </c>
    </row>
    <row r="8" spans="1:13" ht="39" thickBot="1">
      <c r="A8" s="41" t="s">
        <v>130</v>
      </c>
      <c r="B8" s="42" t="str">
        <f t="shared" si="0"/>
        <v>122_0007</v>
      </c>
      <c r="C8" s="6" t="s">
        <v>189</v>
      </c>
      <c r="D8" s="51" t="s">
        <v>192</v>
      </c>
      <c r="E8" s="51" t="s">
        <v>298</v>
      </c>
      <c r="F8" s="70" t="s">
        <v>112</v>
      </c>
      <c r="G8" s="51" t="s">
        <v>68</v>
      </c>
      <c r="H8" s="82" t="s">
        <v>162</v>
      </c>
      <c r="I8" s="47" t="s">
        <v>31</v>
      </c>
      <c r="J8" s="47" t="s">
        <v>26</v>
      </c>
      <c r="K8" s="47"/>
      <c r="L8" s="60" t="s">
        <v>70</v>
      </c>
      <c r="M8" s="47" t="s">
        <v>195</v>
      </c>
    </row>
    <row r="9" spans="1:13" ht="39" thickBot="1">
      <c r="A9" s="41" t="s">
        <v>131</v>
      </c>
      <c r="B9" s="42" t="str">
        <f t="shared" si="0"/>
        <v>122_0008</v>
      </c>
      <c r="C9" s="6" t="s">
        <v>168</v>
      </c>
      <c r="D9" s="51" t="s">
        <v>193</v>
      </c>
      <c r="E9" s="51" t="s">
        <v>83</v>
      </c>
      <c r="F9" s="48" t="s">
        <v>113</v>
      </c>
      <c r="G9" s="51" t="s">
        <v>166</v>
      </c>
      <c r="H9" s="82"/>
      <c r="I9" s="47" t="s">
        <v>31</v>
      </c>
      <c r="J9" s="46" t="s">
        <v>26</v>
      </c>
      <c r="K9" s="47"/>
      <c r="L9" s="60" t="s">
        <v>70</v>
      </c>
      <c r="M9" s="47" t="s">
        <v>194</v>
      </c>
    </row>
    <row r="10" spans="1:13" ht="39" thickBot="1">
      <c r="A10" s="41" t="s">
        <v>132</v>
      </c>
      <c r="B10" s="42" t="str">
        <f t="shared" si="0"/>
        <v>122_0009</v>
      </c>
      <c r="C10" s="7" t="s">
        <v>168</v>
      </c>
      <c r="D10" s="51" t="s">
        <v>49</v>
      </c>
      <c r="E10" s="51" t="s">
        <v>84</v>
      </c>
      <c r="F10" s="48" t="s">
        <v>53</v>
      </c>
      <c r="G10" s="51" t="s">
        <v>166</v>
      </c>
      <c r="H10" s="82"/>
      <c r="I10" s="47" t="s">
        <v>31</v>
      </c>
      <c r="J10" s="46"/>
      <c r="K10" s="47"/>
      <c r="L10" s="60" t="s">
        <v>70</v>
      </c>
      <c r="M10" s="47" t="s">
        <v>308</v>
      </c>
    </row>
    <row r="11" spans="1:13" ht="39" thickBot="1">
      <c r="A11" s="41" t="s">
        <v>133</v>
      </c>
      <c r="B11" s="42" t="str">
        <f t="shared" si="0"/>
        <v>122_0010</v>
      </c>
      <c r="C11" s="6" t="s">
        <v>168</v>
      </c>
      <c r="D11" s="51" t="s">
        <v>36</v>
      </c>
      <c r="E11" s="51" t="s">
        <v>196</v>
      </c>
      <c r="F11" s="48" t="s">
        <v>54</v>
      </c>
      <c r="G11" s="51" t="s">
        <v>25</v>
      </c>
      <c r="H11" s="82">
        <v>3</v>
      </c>
      <c r="I11" s="47" t="s">
        <v>31</v>
      </c>
      <c r="J11" s="46"/>
      <c r="K11" s="46"/>
      <c r="L11" s="60" t="s">
        <v>70</v>
      </c>
      <c r="M11" s="47"/>
    </row>
    <row r="12" spans="1:13" ht="39" thickBot="1">
      <c r="A12" s="41" t="s">
        <v>134</v>
      </c>
      <c r="B12" s="42" t="str">
        <f t="shared" si="0"/>
        <v>122_0011</v>
      </c>
      <c r="C12" s="6" t="s">
        <v>168</v>
      </c>
      <c r="D12" s="51" t="s">
        <v>37</v>
      </c>
      <c r="E12" s="51" t="s">
        <v>197</v>
      </c>
      <c r="F12" s="48" t="s">
        <v>55</v>
      </c>
      <c r="G12" s="51" t="s">
        <v>25</v>
      </c>
      <c r="H12" s="82">
        <v>3</v>
      </c>
      <c r="I12" s="47" t="s">
        <v>31</v>
      </c>
      <c r="J12" s="46"/>
      <c r="K12" s="46"/>
      <c r="L12" s="60" t="s">
        <v>70</v>
      </c>
      <c r="M12" s="47"/>
    </row>
    <row r="13" spans="1:13" ht="26.25" thickBot="1">
      <c r="A13" s="41" t="s">
        <v>135</v>
      </c>
      <c r="B13" s="42" t="str">
        <f t="shared" si="0"/>
        <v>122_0012</v>
      </c>
      <c r="C13" s="6" t="s">
        <v>185</v>
      </c>
      <c r="D13" s="51" t="s">
        <v>226</v>
      </c>
      <c r="E13" s="66" t="s">
        <v>167</v>
      </c>
      <c r="F13" s="48" t="s">
        <v>227</v>
      </c>
      <c r="G13" s="51" t="s">
        <v>25</v>
      </c>
      <c r="H13" s="81" t="s">
        <v>253</v>
      </c>
      <c r="I13" s="47" t="s">
        <v>31</v>
      </c>
      <c r="J13" s="46"/>
      <c r="K13" s="46"/>
      <c r="L13" s="60" t="s">
        <v>70</v>
      </c>
      <c r="M13" s="47" t="s">
        <v>170</v>
      </c>
    </row>
    <row r="14" spans="1:13" ht="26.25" thickBot="1">
      <c r="A14" s="41" t="s">
        <v>136</v>
      </c>
      <c r="B14" s="42" t="str">
        <f t="shared" si="0"/>
        <v>122_0013</v>
      </c>
      <c r="C14" s="7" t="s">
        <v>189</v>
      </c>
      <c r="D14" s="51" t="s">
        <v>38</v>
      </c>
      <c r="E14" s="49" t="s">
        <v>169</v>
      </c>
      <c r="F14" s="48" t="s">
        <v>56</v>
      </c>
      <c r="G14" s="60" t="s">
        <v>164</v>
      </c>
      <c r="H14" s="83" t="s">
        <v>254</v>
      </c>
      <c r="I14" s="47" t="s">
        <v>31</v>
      </c>
      <c r="J14" s="46"/>
      <c r="K14" s="46"/>
      <c r="L14" s="60" t="s">
        <v>69</v>
      </c>
      <c r="M14" s="47" t="s">
        <v>163</v>
      </c>
    </row>
    <row r="15" spans="1:13" ht="26.25" thickBot="1">
      <c r="A15" s="41" t="s">
        <v>137</v>
      </c>
      <c r="B15" s="42" t="str">
        <f t="shared" si="0"/>
        <v>122_0014</v>
      </c>
      <c r="C15" s="6" t="s">
        <v>168</v>
      </c>
      <c r="D15" s="51" t="s">
        <v>228</v>
      </c>
      <c r="E15" s="51" t="s">
        <v>229</v>
      </c>
      <c r="F15" s="48" t="s">
        <v>230</v>
      </c>
      <c r="G15" s="51" t="s">
        <v>25</v>
      </c>
      <c r="H15" s="81">
        <v>12.9</v>
      </c>
      <c r="I15" s="47" t="s">
        <v>31</v>
      </c>
      <c r="J15" s="46"/>
      <c r="K15" s="46"/>
      <c r="L15" s="60" t="s">
        <v>69</v>
      </c>
      <c r="M15" s="47" t="s">
        <v>163</v>
      </c>
    </row>
    <row r="16" spans="1:13" ht="13.5" thickBot="1">
      <c r="A16" s="41" t="s">
        <v>138</v>
      </c>
      <c r="B16" s="42" t="str">
        <f t="shared" si="0"/>
        <v>122_0015</v>
      </c>
      <c r="C16" s="7" t="s">
        <v>168</v>
      </c>
      <c r="D16" s="51" t="s">
        <v>39</v>
      </c>
      <c r="E16" s="51" t="s">
        <v>33</v>
      </c>
      <c r="F16" s="48" t="s">
        <v>57</v>
      </c>
      <c r="G16" s="66" t="s">
        <v>25</v>
      </c>
      <c r="H16" s="81" t="s">
        <v>311</v>
      </c>
      <c r="I16" s="47" t="s">
        <v>31</v>
      </c>
      <c r="J16" s="46"/>
      <c r="K16" s="46"/>
      <c r="L16" s="60" t="s">
        <v>70</v>
      </c>
      <c r="M16" s="47" t="s">
        <v>163</v>
      </c>
    </row>
    <row r="17" spans="1:13" ht="39" thickBot="1">
      <c r="A17" s="41" t="s">
        <v>139</v>
      </c>
      <c r="B17" s="42" t="str">
        <f t="shared" si="0"/>
        <v>122_0016</v>
      </c>
      <c r="C17" s="71" t="s">
        <v>168</v>
      </c>
      <c r="D17" s="72" t="s">
        <v>100</v>
      </c>
      <c r="E17" s="51" t="s">
        <v>85</v>
      </c>
      <c r="F17" s="48" t="s">
        <v>114</v>
      </c>
      <c r="G17" s="58" t="s">
        <v>68</v>
      </c>
      <c r="H17" s="83" t="s">
        <v>255</v>
      </c>
      <c r="I17" s="47" t="s">
        <v>31</v>
      </c>
      <c r="J17" s="46"/>
      <c r="K17" s="46"/>
      <c r="L17" s="60" t="s">
        <v>70</v>
      </c>
      <c r="M17" s="47" t="s">
        <v>231</v>
      </c>
    </row>
    <row r="18" spans="1:13" ht="26.25" thickBot="1">
      <c r="A18" s="41" t="s">
        <v>140</v>
      </c>
      <c r="B18" s="42" t="str">
        <f t="shared" si="0"/>
        <v>122_0017</v>
      </c>
      <c r="C18" s="6" t="s">
        <v>168</v>
      </c>
      <c r="D18" s="73" t="s">
        <v>40</v>
      </c>
      <c r="E18" s="51" t="s">
        <v>299</v>
      </c>
      <c r="F18" s="50" t="s">
        <v>58</v>
      </c>
      <c r="G18" s="59" t="s">
        <v>25</v>
      </c>
      <c r="H18" s="85" t="s">
        <v>256</v>
      </c>
      <c r="I18" s="46" t="s">
        <v>31</v>
      </c>
      <c r="J18" s="46" t="s">
        <v>26</v>
      </c>
      <c r="K18" s="47"/>
      <c r="L18" s="60" t="s">
        <v>70</v>
      </c>
      <c r="M18" s="47" t="s">
        <v>171</v>
      </c>
    </row>
    <row r="19" spans="1:13" ht="39" thickBot="1">
      <c r="A19" s="41" t="s">
        <v>141</v>
      </c>
      <c r="B19" s="42" t="str">
        <f t="shared" si="0"/>
        <v>122_0018</v>
      </c>
      <c r="C19" s="6" t="s">
        <v>168</v>
      </c>
      <c r="D19" s="73" t="s">
        <v>101</v>
      </c>
      <c r="E19" s="51" t="s">
        <v>300</v>
      </c>
      <c r="F19" s="50" t="s">
        <v>59</v>
      </c>
      <c r="G19" s="60" t="s">
        <v>68</v>
      </c>
      <c r="H19" s="85" t="s">
        <v>257</v>
      </c>
      <c r="I19" s="46" t="s">
        <v>31</v>
      </c>
      <c r="J19" s="46"/>
      <c r="K19" s="47"/>
      <c r="L19" s="60" t="s">
        <v>70</v>
      </c>
      <c r="M19" s="47"/>
    </row>
    <row r="20" spans="1:13" ht="51.75" thickBot="1">
      <c r="A20" s="41" t="s">
        <v>142</v>
      </c>
      <c r="B20" s="42" t="str">
        <f t="shared" si="0"/>
        <v>122_0019</v>
      </c>
      <c r="C20" s="6" t="s">
        <v>168</v>
      </c>
      <c r="D20" s="66" t="s">
        <v>102</v>
      </c>
      <c r="E20" s="51" t="s">
        <v>235</v>
      </c>
      <c r="F20" s="50" t="s">
        <v>60</v>
      </c>
      <c r="G20" s="51" t="s">
        <v>68</v>
      </c>
      <c r="H20" s="84" t="s">
        <v>258</v>
      </c>
      <c r="I20" s="46" t="s">
        <v>31</v>
      </c>
      <c r="J20" s="46"/>
      <c r="K20" s="47"/>
      <c r="L20" s="60" t="s">
        <v>70</v>
      </c>
      <c r="M20" s="47"/>
    </row>
    <row r="21" spans="1:13" ht="26.25" thickBot="1">
      <c r="A21" s="41" t="s">
        <v>143</v>
      </c>
      <c r="B21" s="42" t="str">
        <f t="shared" si="0"/>
        <v>122_0020</v>
      </c>
      <c r="C21" s="6" t="s">
        <v>185</v>
      </c>
      <c r="D21" s="66" t="s">
        <v>103</v>
      </c>
      <c r="E21" s="51" t="s">
        <v>86</v>
      </c>
      <c r="F21" s="50" t="s">
        <v>115</v>
      </c>
      <c r="G21" s="51" t="s">
        <v>25</v>
      </c>
      <c r="H21" s="81">
        <v>13.1</v>
      </c>
      <c r="I21" s="46" t="s">
        <v>31</v>
      </c>
      <c r="J21" s="46"/>
      <c r="K21" s="46"/>
      <c r="L21" s="60" t="s">
        <v>70</v>
      </c>
      <c r="M21" s="47"/>
    </row>
    <row r="22" spans="1:13" ht="26.25" thickBot="1">
      <c r="A22" s="41" t="s">
        <v>144</v>
      </c>
      <c r="B22" s="42" t="str">
        <f t="shared" si="0"/>
        <v>122_0021</v>
      </c>
      <c r="C22" s="6" t="s">
        <v>185</v>
      </c>
      <c r="D22" s="74" t="s">
        <v>104</v>
      </c>
      <c r="E22" s="74" t="s">
        <v>87</v>
      </c>
      <c r="F22" s="75" t="s">
        <v>116</v>
      </c>
      <c r="G22" s="74" t="s">
        <v>25</v>
      </c>
      <c r="H22" s="81">
        <v>13.1</v>
      </c>
      <c r="I22" s="46" t="s">
        <v>31</v>
      </c>
      <c r="J22" s="46"/>
      <c r="K22" s="46"/>
      <c r="L22" s="60" t="s">
        <v>70</v>
      </c>
      <c r="M22" s="47"/>
    </row>
    <row r="23" spans="1:13" ht="39" thickBot="1">
      <c r="A23" s="41" t="s">
        <v>145</v>
      </c>
      <c r="B23" s="42" t="str">
        <f t="shared" si="0"/>
        <v>122_0022</v>
      </c>
      <c r="C23" s="53" t="s">
        <v>185</v>
      </c>
      <c r="D23" s="54" t="s">
        <v>232</v>
      </c>
      <c r="E23" s="54" t="s">
        <v>301</v>
      </c>
      <c r="F23" s="54" t="s">
        <v>61</v>
      </c>
      <c r="G23" s="55" t="s">
        <v>25</v>
      </c>
      <c r="H23" s="81">
        <v>14.1</v>
      </c>
      <c r="I23" s="46" t="s">
        <v>31</v>
      </c>
      <c r="J23" s="46" t="s">
        <v>26</v>
      </c>
      <c r="K23" s="46"/>
      <c r="L23" s="60" t="s">
        <v>70</v>
      </c>
      <c r="M23" s="47" t="s">
        <v>233</v>
      </c>
    </row>
    <row r="24" spans="1:13" ht="26.25" thickBot="1">
      <c r="A24" s="41" t="s">
        <v>146</v>
      </c>
      <c r="B24" s="42" t="str">
        <f t="shared" si="0"/>
        <v>122_0023</v>
      </c>
      <c r="C24" s="6" t="s">
        <v>189</v>
      </c>
      <c r="D24" s="51" t="s">
        <v>105</v>
      </c>
      <c r="E24" s="51" t="s">
        <v>88</v>
      </c>
      <c r="F24" s="76" t="s">
        <v>62</v>
      </c>
      <c r="G24" s="60" t="s">
        <v>164</v>
      </c>
      <c r="H24" s="83" t="s">
        <v>259</v>
      </c>
      <c r="I24" s="46" t="s">
        <v>31</v>
      </c>
      <c r="J24" s="46"/>
      <c r="K24" s="46"/>
      <c r="L24" s="60" t="s">
        <v>70</v>
      </c>
      <c r="M24" s="47" t="s">
        <v>173</v>
      </c>
    </row>
    <row r="25" spans="1:13" ht="26.25" thickBot="1">
      <c r="A25" s="41" t="s">
        <v>147</v>
      </c>
      <c r="B25" s="42" t="str">
        <f t="shared" si="0"/>
        <v>122_0024</v>
      </c>
      <c r="C25" s="6" t="s">
        <v>189</v>
      </c>
      <c r="D25" s="51" t="s">
        <v>302</v>
      </c>
      <c r="E25" s="51" t="s">
        <v>303</v>
      </c>
      <c r="F25" s="50" t="s">
        <v>63</v>
      </c>
      <c r="G25" s="59" t="s">
        <v>68</v>
      </c>
      <c r="H25" s="85" t="s">
        <v>255</v>
      </c>
      <c r="I25" s="46" t="s">
        <v>31</v>
      </c>
      <c r="J25" s="46"/>
      <c r="K25" s="46"/>
      <c r="L25" s="60" t="s">
        <v>70</v>
      </c>
      <c r="M25" s="47"/>
    </row>
    <row r="26" spans="1:13" ht="26.25" thickBot="1">
      <c r="A26" s="41" t="s">
        <v>148</v>
      </c>
      <c r="B26" s="42" t="str">
        <f t="shared" si="0"/>
        <v>122_0025</v>
      </c>
      <c r="C26" s="6" t="s">
        <v>189</v>
      </c>
      <c r="D26" s="51" t="s">
        <v>106</v>
      </c>
      <c r="E26" s="51" t="s">
        <v>89</v>
      </c>
      <c r="F26" s="50" t="s">
        <v>117</v>
      </c>
      <c r="G26" s="60" t="s">
        <v>164</v>
      </c>
      <c r="H26" s="83" t="s">
        <v>312</v>
      </c>
      <c r="I26" s="46" t="s">
        <v>31</v>
      </c>
      <c r="J26" s="46"/>
      <c r="K26" s="46"/>
      <c r="L26" s="77" t="s">
        <v>70</v>
      </c>
      <c r="M26" s="47"/>
    </row>
    <row r="27" spans="1:13" ht="26.25" thickBot="1">
      <c r="A27" s="41" t="s">
        <v>149</v>
      </c>
      <c r="B27" s="42" t="str">
        <f t="shared" si="0"/>
        <v>122_0026</v>
      </c>
      <c r="C27" s="6" t="s">
        <v>189</v>
      </c>
      <c r="D27" s="51" t="s">
        <v>41</v>
      </c>
      <c r="E27" s="51" t="s">
        <v>34</v>
      </c>
      <c r="F27" s="50" t="s">
        <v>64</v>
      </c>
      <c r="G27" s="51" t="s">
        <v>166</v>
      </c>
      <c r="H27" s="84"/>
      <c r="I27" s="46" t="s">
        <v>31</v>
      </c>
      <c r="J27" s="46"/>
      <c r="K27" s="46"/>
      <c r="L27" s="77" t="s">
        <v>70</v>
      </c>
      <c r="M27" s="47"/>
    </row>
    <row r="28" spans="1:13" ht="26.25" thickBot="1">
      <c r="A28" s="41" t="s">
        <v>150</v>
      </c>
      <c r="B28" s="42" t="str">
        <f t="shared" si="0"/>
        <v>122_0027</v>
      </c>
      <c r="C28" s="6" t="s">
        <v>189</v>
      </c>
      <c r="D28" s="51" t="s">
        <v>42</v>
      </c>
      <c r="E28" s="51" t="s">
        <v>90</v>
      </c>
      <c r="F28" s="50" t="s">
        <v>66</v>
      </c>
      <c r="G28" s="51" t="s">
        <v>68</v>
      </c>
      <c r="H28" s="82" t="s">
        <v>174</v>
      </c>
      <c r="I28" s="46" t="s">
        <v>31</v>
      </c>
      <c r="J28" s="46"/>
      <c r="K28" s="46"/>
      <c r="L28" s="77" t="s">
        <v>70</v>
      </c>
      <c r="M28" s="47" t="s">
        <v>309</v>
      </c>
    </row>
    <row r="29" spans="1:13" ht="39" thickBot="1">
      <c r="A29" s="41" t="s">
        <v>151</v>
      </c>
      <c r="B29" s="42" t="str">
        <f t="shared" si="0"/>
        <v>122_0028</v>
      </c>
      <c r="C29" s="6" t="s">
        <v>189</v>
      </c>
      <c r="D29" s="51" t="s">
        <v>43</v>
      </c>
      <c r="E29" s="51" t="s">
        <v>91</v>
      </c>
      <c r="F29" s="50" t="s">
        <v>67</v>
      </c>
      <c r="G29" s="51" t="s">
        <v>68</v>
      </c>
      <c r="H29" s="84" t="s">
        <v>260</v>
      </c>
      <c r="I29" s="46" t="s">
        <v>31</v>
      </c>
      <c r="J29" s="46"/>
      <c r="K29" s="46"/>
      <c r="L29" s="77" t="s">
        <v>70</v>
      </c>
      <c r="M29" s="47" t="s">
        <v>310</v>
      </c>
    </row>
    <row r="30" spans="1:13" ht="51.75" thickBot="1">
      <c r="A30" s="41" t="s">
        <v>152</v>
      </c>
      <c r="B30" s="42" t="str">
        <f t="shared" si="0"/>
        <v>122_0029</v>
      </c>
      <c r="C30" s="6" t="s">
        <v>168</v>
      </c>
      <c r="D30" s="51" t="s">
        <v>107</v>
      </c>
      <c r="E30" s="51" t="s">
        <v>92</v>
      </c>
      <c r="F30" s="50" t="s">
        <v>118</v>
      </c>
      <c r="G30" s="51" t="s">
        <v>68</v>
      </c>
      <c r="H30" s="84" t="s">
        <v>261</v>
      </c>
      <c r="I30" s="46" t="s">
        <v>31</v>
      </c>
      <c r="J30" s="46"/>
      <c r="K30" s="46"/>
      <c r="L30" s="77" t="s">
        <v>70</v>
      </c>
      <c r="M30" s="47" t="s">
        <v>262</v>
      </c>
    </row>
    <row r="31" spans="1:13" ht="26.25" thickBot="1">
      <c r="A31" s="41" t="s">
        <v>153</v>
      </c>
      <c r="B31" s="42" t="str">
        <f t="shared" si="0"/>
        <v>122_0030</v>
      </c>
      <c r="C31" s="6" t="s">
        <v>168</v>
      </c>
      <c r="D31" s="51" t="s">
        <v>44</v>
      </c>
      <c r="E31" s="51" t="s">
        <v>93</v>
      </c>
      <c r="F31" s="50" t="s">
        <v>65</v>
      </c>
      <c r="G31" s="51" t="s">
        <v>68</v>
      </c>
      <c r="H31" s="82" t="s">
        <v>179</v>
      </c>
      <c r="I31" s="46" t="s">
        <v>31</v>
      </c>
      <c r="J31" s="46"/>
      <c r="K31" s="47"/>
      <c r="L31" s="77" t="s">
        <v>70</v>
      </c>
      <c r="M31" s="47"/>
    </row>
    <row r="32" spans="1:13" ht="39" thickBot="1">
      <c r="A32" s="41" t="s">
        <v>154</v>
      </c>
      <c r="B32" s="42" t="str">
        <f t="shared" si="0"/>
        <v>122_0031</v>
      </c>
      <c r="C32" s="6" t="s">
        <v>189</v>
      </c>
      <c r="D32" s="51" t="s">
        <v>108</v>
      </c>
      <c r="E32" s="51" t="s">
        <v>94</v>
      </c>
      <c r="F32" s="50" t="s">
        <v>119</v>
      </c>
      <c r="G32" s="51" t="s">
        <v>68</v>
      </c>
      <c r="H32" s="84" t="s">
        <v>263</v>
      </c>
      <c r="I32" s="46" t="s">
        <v>31</v>
      </c>
      <c r="J32" s="46"/>
      <c r="K32" s="46"/>
      <c r="L32" s="77" t="s">
        <v>70</v>
      </c>
      <c r="M32" s="47"/>
    </row>
    <row r="33" spans="1:13" ht="26.25" thickBot="1">
      <c r="A33" s="41" t="s">
        <v>155</v>
      </c>
      <c r="B33" s="42" t="str">
        <f t="shared" si="0"/>
        <v>122_0032</v>
      </c>
      <c r="C33" s="6" t="s">
        <v>189</v>
      </c>
      <c r="D33" s="51" t="s">
        <v>45</v>
      </c>
      <c r="E33" s="51" t="s">
        <v>95</v>
      </c>
      <c r="F33" s="50" t="s">
        <v>120</v>
      </c>
      <c r="G33" s="51" t="s">
        <v>68</v>
      </c>
      <c r="H33" s="82" t="s">
        <v>264</v>
      </c>
      <c r="I33" s="46" t="s">
        <v>31</v>
      </c>
      <c r="J33" s="46"/>
      <c r="K33" s="46"/>
      <c r="L33" s="77" t="s">
        <v>70</v>
      </c>
      <c r="M33" s="47"/>
    </row>
    <row r="34" spans="1:13" ht="26.25" thickBot="1">
      <c r="A34" s="41" t="s">
        <v>156</v>
      </c>
      <c r="B34" s="42" t="str">
        <f t="shared" si="0"/>
        <v>122_0033</v>
      </c>
      <c r="C34" s="6" t="s">
        <v>189</v>
      </c>
      <c r="D34" s="51" t="s">
        <v>46</v>
      </c>
      <c r="E34" s="51" t="s">
        <v>96</v>
      </c>
      <c r="F34" s="50" t="s">
        <v>121</v>
      </c>
      <c r="G34" s="51" t="s">
        <v>68</v>
      </c>
      <c r="H34" s="84">
        <v>10.6</v>
      </c>
      <c r="I34" s="46" t="s">
        <v>31</v>
      </c>
      <c r="J34" s="46"/>
      <c r="K34" s="46"/>
      <c r="L34" s="77" t="s">
        <v>70</v>
      </c>
      <c r="M34" s="47"/>
    </row>
    <row r="35" spans="1:13" ht="26.25" thickBot="1">
      <c r="A35" s="41" t="s">
        <v>157</v>
      </c>
      <c r="B35" s="42" t="str">
        <f t="shared" si="0"/>
        <v>122_0034</v>
      </c>
      <c r="C35" s="6" t="s">
        <v>189</v>
      </c>
      <c r="D35" s="51" t="s">
        <v>47</v>
      </c>
      <c r="E35" s="51" t="s">
        <v>97</v>
      </c>
      <c r="F35" s="50" t="s">
        <v>122</v>
      </c>
      <c r="G35" s="51" t="s">
        <v>164</v>
      </c>
      <c r="H35" s="84" t="s">
        <v>313</v>
      </c>
      <c r="I35" s="46" t="s">
        <v>31</v>
      </c>
      <c r="J35" s="46"/>
      <c r="K35" s="46"/>
      <c r="L35" s="77" t="s">
        <v>70</v>
      </c>
      <c r="M35" s="47"/>
    </row>
    <row r="36" spans="1:13" ht="39" thickBot="1">
      <c r="A36" s="41" t="s">
        <v>158</v>
      </c>
      <c r="B36" s="42" t="str">
        <f t="shared" si="0"/>
        <v>122_0035</v>
      </c>
      <c r="C36" s="6" t="s">
        <v>189</v>
      </c>
      <c r="D36" s="51" t="s">
        <v>48</v>
      </c>
      <c r="E36" s="51" t="s">
        <v>98</v>
      </c>
      <c r="F36" s="50" t="s">
        <v>123</v>
      </c>
      <c r="G36" s="51" t="s">
        <v>68</v>
      </c>
      <c r="H36" s="84" t="s">
        <v>175</v>
      </c>
      <c r="I36" s="46" t="s">
        <v>31</v>
      </c>
      <c r="J36" s="46"/>
      <c r="K36" s="46"/>
      <c r="L36" s="77" t="s">
        <v>69</v>
      </c>
      <c r="M36" s="47"/>
    </row>
    <row r="37" spans="1:13" ht="64.5" thickBot="1">
      <c r="A37" s="41" t="s">
        <v>159</v>
      </c>
      <c r="B37" s="42" t="str">
        <f t="shared" si="0"/>
        <v>122_0036</v>
      </c>
      <c r="C37" s="6" t="s">
        <v>168</v>
      </c>
      <c r="D37" s="66" t="s">
        <v>109</v>
      </c>
      <c r="E37" s="66" t="s">
        <v>176</v>
      </c>
      <c r="F37" s="50" t="s">
        <v>177</v>
      </c>
      <c r="G37" s="51" t="s">
        <v>25</v>
      </c>
      <c r="H37" s="84">
        <v>12.11</v>
      </c>
      <c r="I37" s="46" t="s">
        <v>31</v>
      </c>
      <c r="J37" s="46" t="s">
        <v>26</v>
      </c>
      <c r="K37" s="47"/>
      <c r="L37" s="77" t="s">
        <v>161</v>
      </c>
      <c r="M37" s="47" t="s">
        <v>178</v>
      </c>
    </row>
    <row r="38" spans="1:13" ht="39" thickBot="1">
      <c r="A38" s="41" t="s">
        <v>160</v>
      </c>
      <c r="B38" s="42" t="str">
        <f t="shared" si="0"/>
        <v>122_0037</v>
      </c>
      <c r="C38" s="6" t="s">
        <v>185</v>
      </c>
      <c r="D38" s="51" t="s">
        <v>182</v>
      </c>
      <c r="E38" s="51" t="s">
        <v>304</v>
      </c>
      <c r="F38" s="50" t="s">
        <v>305</v>
      </c>
      <c r="G38" s="51" t="s">
        <v>25</v>
      </c>
      <c r="H38" s="82">
        <v>7.5</v>
      </c>
      <c r="I38" s="46" t="s">
        <v>31</v>
      </c>
      <c r="J38" s="46" t="s">
        <v>26</v>
      </c>
      <c r="K38" s="47"/>
      <c r="L38" s="77" t="s">
        <v>161</v>
      </c>
      <c r="M38" s="47" t="s">
        <v>183</v>
      </c>
    </row>
    <row r="39" spans="1:13" ht="26.25" thickBot="1">
      <c r="A39" s="41" t="str">
        <f>_xlfn.CONCAT("122_ED2_",TEXT(ROW()-ROW(A$39)+1,"000"))</f>
        <v>122_ED2_001</v>
      </c>
      <c r="B39" s="42" t="str">
        <f t="shared" si="0"/>
        <v>122_0038</v>
      </c>
      <c r="C39" s="6" t="s">
        <v>168</v>
      </c>
      <c r="D39" s="51" t="s">
        <v>184</v>
      </c>
      <c r="E39" s="51" t="s">
        <v>188</v>
      </c>
      <c r="F39" s="50" t="s">
        <v>186</v>
      </c>
      <c r="G39" s="51" t="s">
        <v>25</v>
      </c>
      <c r="H39" s="82">
        <v>7.3</v>
      </c>
      <c r="I39" s="46" t="s">
        <v>26</v>
      </c>
      <c r="J39" s="46"/>
      <c r="K39" s="47"/>
      <c r="L39" s="77" t="s">
        <v>187</v>
      </c>
      <c r="M39" s="47"/>
    </row>
    <row r="40" spans="1:13" ht="51.75" thickBot="1">
      <c r="A40" s="41" t="str">
        <f>_xlfn.CONCAT("122_ED2_",TEXT(ROW()-ROW(A$39)+1,"000"))</f>
        <v>122_ED2_002</v>
      </c>
      <c r="B40" s="42" t="str">
        <f t="shared" si="0"/>
        <v>122_0039</v>
      </c>
      <c r="C40" s="6" t="s">
        <v>189</v>
      </c>
      <c r="D40" s="51" t="s">
        <v>198</v>
      </c>
      <c r="E40" s="51" t="s">
        <v>199</v>
      </c>
      <c r="F40" s="48" t="s">
        <v>200</v>
      </c>
      <c r="G40" s="51" t="s">
        <v>68</v>
      </c>
      <c r="H40" s="82" t="s">
        <v>314</v>
      </c>
      <c r="I40" s="47" t="s">
        <v>26</v>
      </c>
      <c r="J40" s="46"/>
      <c r="K40" s="46"/>
      <c r="L40" s="60" t="s">
        <v>187</v>
      </c>
      <c r="M40" s="47"/>
    </row>
    <row r="41" spans="1:13" ht="26.25" thickBot="1">
      <c r="A41" s="41" t="str">
        <f t="shared" ref="A41:A61" si="1">_xlfn.CONCAT("122_ED2_",TEXT(ROW()-ROW(A$39)+1,"000"))</f>
        <v>122_ED2_003</v>
      </c>
      <c r="B41" s="42" t="str">
        <f t="shared" si="0"/>
        <v>122_0040</v>
      </c>
      <c r="C41" s="6" t="s">
        <v>189</v>
      </c>
      <c r="D41" s="51" t="s">
        <v>201</v>
      </c>
      <c r="E41" s="51" t="s">
        <v>202</v>
      </c>
      <c r="F41" s="48" t="s">
        <v>203</v>
      </c>
      <c r="G41" s="51" t="s">
        <v>68</v>
      </c>
      <c r="H41" s="82" t="s">
        <v>315</v>
      </c>
      <c r="I41" s="47" t="s">
        <v>26</v>
      </c>
      <c r="J41" s="46"/>
      <c r="K41" s="46"/>
      <c r="L41" s="60" t="s">
        <v>187</v>
      </c>
      <c r="M41" s="47"/>
    </row>
    <row r="42" spans="1:13" ht="39" thickBot="1">
      <c r="A42" s="41" t="str">
        <f t="shared" si="1"/>
        <v>122_ED2_004</v>
      </c>
      <c r="B42" s="42" t="str">
        <f t="shared" ref="B42:B61" si="2">_xlfn.CONCAT("122_", TEXT(ROW()-1, "0000"))</f>
        <v>122_0041</v>
      </c>
      <c r="C42" s="6" t="s">
        <v>189</v>
      </c>
      <c r="D42" s="51" t="s">
        <v>204</v>
      </c>
      <c r="E42" s="51" t="s">
        <v>205</v>
      </c>
      <c r="F42" s="48" t="s">
        <v>206</v>
      </c>
      <c r="G42" s="51" t="s">
        <v>68</v>
      </c>
      <c r="H42" s="82" t="s">
        <v>315</v>
      </c>
      <c r="I42" s="47" t="s">
        <v>26</v>
      </c>
      <c r="J42" s="46"/>
      <c r="K42" s="46"/>
      <c r="L42" s="60" t="s">
        <v>187</v>
      </c>
      <c r="M42" s="47"/>
    </row>
    <row r="43" spans="1:13" ht="51.75" thickBot="1">
      <c r="A43" s="41" t="str">
        <f t="shared" si="1"/>
        <v>122_ED2_005</v>
      </c>
      <c r="B43" s="42" t="str">
        <f t="shared" si="2"/>
        <v>122_0042</v>
      </c>
      <c r="C43" s="6" t="s">
        <v>168</v>
      </c>
      <c r="D43" s="51" t="s">
        <v>207</v>
      </c>
      <c r="E43" s="51" t="s">
        <v>306</v>
      </c>
      <c r="F43" s="48" t="s">
        <v>208</v>
      </c>
      <c r="G43" s="51" t="s">
        <v>166</v>
      </c>
      <c r="H43" s="82"/>
      <c r="I43" s="47" t="s">
        <v>26</v>
      </c>
      <c r="J43" s="46"/>
      <c r="K43" s="46"/>
      <c r="L43" s="60" t="s">
        <v>70</v>
      </c>
      <c r="M43" s="47"/>
    </row>
    <row r="44" spans="1:13" ht="39" thickBot="1">
      <c r="A44" s="41" t="str">
        <f t="shared" si="1"/>
        <v>122_ED2_006</v>
      </c>
      <c r="B44" s="42" t="str">
        <f t="shared" si="2"/>
        <v>122_0043</v>
      </c>
      <c r="C44" s="6" t="s">
        <v>168</v>
      </c>
      <c r="D44" s="51" t="s">
        <v>209</v>
      </c>
      <c r="E44" s="51" t="s">
        <v>210</v>
      </c>
      <c r="F44" s="48" t="s">
        <v>211</v>
      </c>
      <c r="G44" s="51" t="s">
        <v>68</v>
      </c>
      <c r="H44" s="82" t="s">
        <v>212</v>
      </c>
      <c r="I44" s="47" t="s">
        <v>26</v>
      </c>
      <c r="J44" s="46"/>
      <c r="K44" s="46"/>
      <c r="L44" s="60" t="s">
        <v>70</v>
      </c>
      <c r="M44" s="47"/>
    </row>
    <row r="45" spans="1:13" ht="26.25" thickBot="1">
      <c r="A45" s="41" t="str">
        <f t="shared" si="1"/>
        <v>122_ED2_007</v>
      </c>
      <c r="B45" s="42" t="str">
        <f t="shared" si="2"/>
        <v>122_0044</v>
      </c>
      <c r="C45" s="6" t="s">
        <v>168</v>
      </c>
      <c r="D45" s="52" t="s">
        <v>213</v>
      </c>
      <c r="E45" s="51" t="s">
        <v>214</v>
      </c>
      <c r="F45" s="48" t="s">
        <v>215</v>
      </c>
      <c r="G45" s="51" t="s">
        <v>68</v>
      </c>
      <c r="H45" s="82" t="s">
        <v>265</v>
      </c>
      <c r="I45" s="47" t="s">
        <v>31</v>
      </c>
      <c r="J45" s="46"/>
      <c r="K45" s="46"/>
      <c r="L45" s="60" t="s">
        <v>70</v>
      </c>
      <c r="M45" s="47"/>
    </row>
    <row r="46" spans="1:13" ht="26.25" thickBot="1">
      <c r="A46" s="41" t="str">
        <f t="shared" si="1"/>
        <v>122_ED2_008</v>
      </c>
      <c r="B46" s="42" t="str">
        <f t="shared" si="2"/>
        <v>122_0045</v>
      </c>
      <c r="C46" s="6" t="s">
        <v>168</v>
      </c>
      <c r="D46" s="51" t="s">
        <v>216</v>
      </c>
      <c r="E46" s="51" t="s">
        <v>217</v>
      </c>
      <c r="F46" s="50" t="s">
        <v>218</v>
      </c>
      <c r="G46" s="51" t="s">
        <v>68</v>
      </c>
      <c r="H46" s="82" t="s">
        <v>316</v>
      </c>
      <c r="I46" s="46" t="s">
        <v>31</v>
      </c>
      <c r="J46" s="46"/>
      <c r="K46" s="46"/>
      <c r="L46" s="77" t="s">
        <v>70</v>
      </c>
      <c r="M46" s="47"/>
    </row>
    <row r="47" spans="1:13" ht="39" thickBot="1">
      <c r="A47" s="41" t="str">
        <f t="shared" si="1"/>
        <v>122_ED2_009</v>
      </c>
      <c r="B47" s="42" t="str">
        <f t="shared" si="2"/>
        <v>122_0046</v>
      </c>
      <c r="C47" s="6" t="s">
        <v>168</v>
      </c>
      <c r="D47" s="51" t="s">
        <v>219</v>
      </c>
      <c r="E47" s="51" t="s">
        <v>220</v>
      </c>
      <c r="F47" s="50" t="s">
        <v>218</v>
      </c>
      <c r="G47" s="51" t="s">
        <v>68</v>
      </c>
      <c r="H47" s="82">
        <v>12.1</v>
      </c>
      <c r="I47" s="46" t="s">
        <v>31</v>
      </c>
      <c r="J47" s="46"/>
      <c r="K47" s="46"/>
      <c r="L47" s="77" t="s">
        <v>70</v>
      </c>
      <c r="M47" s="47"/>
    </row>
    <row r="48" spans="1:13" ht="51.75" thickBot="1">
      <c r="A48" s="41" t="str">
        <f t="shared" si="1"/>
        <v>122_ED2_010</v>
      </c>
      <c r="B48" s="42" t="str">
        <f t="shared" si="2"/>
        <v>122_0047</v>
      </c>
      <c r="C48" s="6" t="s">
        <v>168</v>
      </c>
      <c r="D48" s="51" t="s">
        <v>221</v>
      </c>
      <c r="E48" s="51" t="s">
        <v>307</v>
      </c>
      <c r="F48" s="50" t="s">
        <v>222</v>
      </c>
      <c r="G48" s="51" t="s">
        <v>68</v>
      </c>
      <c r="H48" s="82" t="s">
        <v>223</v>
      </c>
      <c r="I48" s="46" t="s">
        <v>31</v>
      </c>
      <c r="J48" s="46" t="s">
        <v>26</v>
      </c>
      <c r="K48" s="46"/>
      <c r="L48" s="77" t="s">
        <v>70</v>
      </c>
      <c r="M48" s="47" t="s">
        <v>224</v>
      </c>
    </row>
    <row r="49" spans="1:13" ht="39" thickBot="1">
      <c r="A49" s="41" t="str">
        <f t="shared" si="1"/>
        <v>122_ED2_011</v>
      </c>
      <c r="B49" s="42" t="str">
        <f t="shared" si="2"/>
        <v>122_0048</v>
      </c>
      <c r="C49" s="6" t="s">
        <v>185</v>
      </c>
      <c r="D49" s="66" t="s">
        <v>180</v>
      </c>
      <c r="E49" s="51" t="s">
        <v>172</v>
      </c>
      <c r="F49" s="50" t="s">
        <v>181</v>
      </c>
      <c r="G49" s="51" t="s">
        <v>25</v>
      </c>
      <c r="H49" s="81">
        <v>13.1</v>
      </c>
      <c r="I49" s="46"/>
      <c r="J49" s="46"/>
      <c r="K49" s="46"/>
      <c r="L49" s="77"/>
      <c r="M49" s="47"/>
    </row>
    <row r="50" spans="1:13" ht="39" thickBot="1">
      <c r="A50" s="41" t="str">
        <f t="shared" si="1"/>
        <v>122_ED2_012</v>
      </c>
      <c r="B50" s="42" t="str">
        <f t="shared" si="2"/>
        <v>122_0049</v>
      </c>
      <c r="C50" s="56" t="s">
        <v>168</v>
      </c>
      <c r="D50" s="47" t="s">
        <v>236</v>
      </c>
      <c r="E50" s="47" t="s">
        <v>237</v>
      </c>
      <c r="F50" s="47" t="s">
        <v>238</v>
      </c>
      <c r="G50" s="57" t="s">
        <v>25</v>
      </c>
      <c r="H50" s="85" t="s">
        <v>239</v>
      </c>
      <c r="I50" s="46" t="s">
        <v>26</v>
      </c>
      <c r="J50" s="46"/>
      <c r="K50" s="46"/>
      <c r="L50" s="47" t="s">
        <v>70</v>
      </c>
      <c r="M50" s="47"/>
    </row>
    <row r="51" spans="1:13" ht="26.25" thickBot="1">
      <c r="A51" s="41" t="str">
        <f t="shared" si="1"/>
        <v>122_ED2_013</v>
      </c>
      <c r="B51" s="42" t="str">
        <f t="shared" si="2"/>
        <v>122_0050</v>
      </c>
      <c r="C51" s="56" t="s">
        <v>189</v>
      </c>
      <c r="D51" s="47" t="s">
        <v>240</v>
      </c>
      <c r="E51" s="47" t="s">
        <v>241</v>
      </c>
      <c r="F51" s="47" t="s">
        <v>242</v>
      </c>
      <c r="G51" s="57" t="s">
        <v>25</v>
      </c>
      <c r="H51" s="85">
        <v>7.3</v>
      </c>
      <c r="I51" s="46" t="s">
        <v>26</v>
      </c>
      <c r="J51" s="46"/>
      <c r="K51" s="46"/>
      <c r="L51" s="47" t="s">
        <v>161</v>
      </c>
      <c r="M51" s="47"/>
    </row>
    <row r="52" spans="1:13" ht="26.25" thickBot="1">
      <c r="A52" s="41" t="str">
        <f t="shared" si="1"/>
        <v>122_ED2_014</v>
      </c>
      <c r="B52" s="42" t="str">
        <f t="shared" si="2"/>
        <v>122_0051</v>
      </c>
      <c r="C52" s="56" t="s">
        <v>189</v>
      </c>
      <c r="D52" s="47" t="s">
        <v>266</v>
      </c>
      <c r="E52" s="47" t="s">
        <v>243</v>
      </c>
      <c r="F52" s="47" t="s">
        <v>244</v>
      </c>
      <c r="G52" s="57" t="s">
        <v>68</v>
      </c>
      <c r="H52" s="85" t="s">
        <v>212</v>
      </c>
      <c r="I52" s="46" t="s">
        <v>26</v>
      </c>
      <c r="J52" s="46"/>
      <c r="K52" s="46"/>
      <c r="L52" s="47" t="s">
        <v>245</v>
      </c>
      <c r="M52" s="47"/>
    </row>
    <row r="53" spans="1:13" ht="26.25" thickBot="1">
      <c r="A53" s="41" t="str">
        <f t="shared" si="1"/>
        <v>122_ED2_015</v>
      </c>
      <c r="B53" s="42" t="str">
        <f t="shared" si="2"/>
        <v>122_0052</v>
      </c>
      <c r="C53" s="56" t="s">
        <v>168</v>
      </c>
      <c r="D53" s="47" t="s">
        <v>246</v>
      </c>
      <c r="E53" s="47" t="s">
        <v>247</v>
      </c>
      <c r="F53" s="47" t="s">
        <v>248</v>
      </c>
      <c r="G53" s="57" t="s">
        <v>68</v>
      </c>
      <c r="H53" s="85" t="s">
        <v>212</v>
      </c>
      <c r="I53" s="46" t="s">
        <v>26</v>
      </c>
      <c r="J53" s="46"/>
      <c r="K53" s="46"/>
      <c r="L53" s="47" t="s">
        <v>245</v>
      </c>
      <c r="M53" s="47"/>
    </row>
    <row r="54" spans="1:13" ht="39" thickBot="1">
      <c r="A54" s="41" t="str">
        <f t="shared" si="1"/>
        <v>122_ED2_016</v>
      </c>
      <c r="B54" s="42" t="str">
        <f t="shared" si="2"/>
        <v>122_0053</v>
      </c>
      <c r="C54" s="56" t="s">
        <v>168</v>
      </c>
      <c r="D54" s="47" t="s">
        <v>249</v>
      </c>
      <c r="E54" s="47" t="s">
        <v>250</v>
      </c>
      <c r="F54" s="47" t="s">
        <v>251</v>
      </c>
      <c r="G54" s="57" t="s">
        <v>166</v>
      </c>
      <c r="H54" s="85"/>
      <c r="I54" s="46" t="s">
        <v>26</v>
      </c>
      <c r="J54" s="46"/>
      <c r="K54" s="46"/>
      <c r="L54" s="47" t="s">
        <v>252</v>
      </c>
      <c r="M54" s="47"/>
    </row>
    <row r="55" spans="1:13" ht="39" thickBot="1">
      <c r="A55" s="41" t="str">
        <f t="shared" si="1"/>
        <v>122_ED2_017</v>
      </c>
      <c r="B55" s="42" t="str">
        <f t="shared" si="2"/>
        <v>122_0054</v>
      </c>
      <c r="C55" s="56" t="s">
        <v>168</v>
      </c>
      <c r="D55" s="47" t="s">
        <v>267</v>
      </c>
      <c r="E55" s="47" t="s">
        <v>268</v>
      </c>
      <c r="F55" s="47" t="s">
        <v>269</v>
      </c>
      <c r="G55" s="57" t="s">
        <v>68</v>
      </c>
      <c r="H55" s="85" t="s">
        <v>270</v>
      </c>
      <c r="I55" s="46" t="s">
        <v>26</v>
      </c>
      <c r="J55" s="46"/>
      <c r="K55" s="46"/>
      <c r="L55" s="47" t="s">
        <v>245</v>
      </c>
      <c r="M55" s="47"/>
    </row>
    <row r="56" spans="1:13" ht="26.25" thickBot="1">
      <c r="A56" s="41" t="str">
        <f t="shared" si="1"/>
        <v>122_ED2_018</v>
      </c>
      <c r="B56" s="42" t="str">
        <f t="shared" si="2"/>
        <v>122_0055</v>
      </c>
      <c r="C56" s="6" t="s">
        <v>168</v>
      </c>
      <c r="D56" s="4" t="s">
        <v>272</v>
      </c>
      <c r="E56" s="72" t="s">
        <v>271</v>
      </c>
      <c r="F56" s="50" t="s">
        <v>273</v>
      </c>
      <c r="G56" s="51" t="s">
        <v>68</v>
      </c>
      <c r="H56" s="84" t="s">
        <v>274</v>
      </c>
      <c r="I56" s="46" t="s">
        <v>26</v>
      </c>
      <c r="J56" s="46"/>
      <c r="K56" s="46"/>
      <c r="L56" s="77" t="s">
        <v>245</v>
      </c>
      <c r="M56" s="47"/>
    </row>
    <row r="57" spans="1:13" ht="26.25" thickBot="1">
      <c r="A57" s="41" t="str">
        <f t="shared" si="1"/>
        <v>122_ED2_019</v>
      </c>
      <c r="B57" s="42" t="str">
        <f t="shared" si="2"/>
        <v>122_0056</v>
      </c>
      <c r="C57" s="6" t="s">
        <v>189</v>
      </c>
      <c r="D57" s="72" t="s">
        <v>275</v>
      </c>
      <c r="E57" s="51" t="s">
        <v>317</v>
      </c>
      <c r="F57" s="50" t="s">
        <v>276</v>
      </c>
      <c r="G57" s="51" t="s">
        <v>68</v>
      </c>
      <c r="H57" s="84">
        <v>2.4</v>
      </c>
      <c r="I57" s="46" t="s">
        <v>26</v>
      </c>
      <c r="J57" s="46"/>
      <c r="K57" s="46"/>
      <c r="L57" s="77" t="s">
        <v>245</v>
      </c>
      <c r="M57" s="47"/>
    </row>
    <row r="58" spans="1:13" ht="39" thickBot="1">
      <c r="A58" s="41" t="str">
        <f t="shared" si="1"/>
        <v>122_ED2_020</v>
      </c>
      <c r="B58" s="42" t="str">
        <f t="shared" si="2"/>
        <v>122_0057</v>
      </c>
      <c r="C58" s="6" t="s">
        <v>189</v>
      </c>
      <c r="D58" s="47" t="s">
        <v>277</v>
      </c>
      <c r="E58" s="54" t="s">
        <v>278</v>
      </c>
      <c r="F58" s="47" t="s">
        <v>279</v>
      </c>
      <c r="G58" s="59" t="s">
        <v>68</v>
      </c>
      <c r="H58" s="85" t="s">
        <v>280</v>
      </c>
      <c r="I58" s="46" t="s">
        <v>26</v>
      </c>
      <c r="J58" s="46"/>
      <c r="K58" s="46"/>
      <c r="L58" s="47" t="s">
        <v>245</v>
      </c>
      <c r="M58" s="47"/>
    </row>
    <row r="59" spans="1:13" ht="39" thickBot="1">
      <c r="A59" s="41" t="str">
        <f t="shared" si="1"/>
        <v>122_ED2_021</v>
      </c>
      <c r="B59" s="42" t="str">
        <f t="shared" si="2"/>
        <v>122_0058</v>
      </c>
      <c r="C59" s="6" t="s">
        <v>168</v>
      </c>
      <c r="D59" s="47" t="s">
        <v>281</v>
      </c>
      <c r="E59" s="54" t="s">
        <v>282</v>
      </c>
      <c r="F59" s="47" t="s">
        <v>283</v>
      </c>
      <c r="G59" s="59" t="s">
        <v>68</v>
      </c>
      <c r="H59" s="85" t="s">
        <v>284</v>
      </c>
      <c r="I59" s="46" t="s">
        <v>26</v>
      </c>
      <c r="J59" s="46"/>
      <c r="K59" s="46"/>
      <c r="L59" s="47" t="s">
        <v>245</v>
      </c>
      <c r="M59" s="47"/>
    </row>
    <row r="60" spans="1:13" ht="26.25" thickBot="1">
      <c r="A60" s="41" t="str">
        <f t="shared" si="1"/>
        <v>122_ED2_022</v>
      </c>
      <c r="B60" s="42" t="str">
        <f t="shared" si="2"/>
        <v>122_0059</v>
      </c>
      <c r="C60" s="56" t="s">
        <v>189</v>
      </c>
      <c r="D60" s="47" t="s">
        <v>286</v>
      </c>
      <c r="E60" s="47" t="s">
        <v>287</v>
      </c>
      <c r="F60" s="47" t="s">
        <v>288</v>
      </c>
      <c r="G60" s="57" t="s">
        <v>68</v>
      </c>
      <c r="H60" s="85" t="s">
        <v>318</v>
      </c>
      <c r="I60" s="46" t="s">
        <v>26</v>
      </c>
      <c r="J60" s="46"/>
      <c r="K60" s="46"/>
      <c r="L60" s="47" t="s">
        <v>289</v>
      </c>
      <c r="M60" s="47"/>
    </row>
    <row r="61" spans="1:13" ht="26.25" thickBot="1">
      <c r="A61" s="41" t="str">
        <f t="shared" si="1"/>
        <v>122_ED2_023</v>
      </c>
      <c r="B61" s="42" t="str">
        <f t="shared" si="2"/>
        <v>122_0060</v>
      </c>
      <c r="C61" s="56" t="s">
        <v>168</v>
      </c>
      <c r="D61" s="47" t="s">
        <v>290</v>
      </c>
      <c r="E61" s="47" t="s">
        <v>291</v>
      </c>
      <c r="F61" s="47" t="s">
        <v>292</v>
      </c>
      <c r="G61" s="57" t="s">
        <v>68</v>
      </c>
      <c r="H61" s="85" t="s">
        <v>318</v>
      </c>
      <c r="I61" s="46" t="s">
        <v>26</v>
      </c>
      <c r="J61" s="46"/>
      <c r="K61" s="46"/>
      <c r="L61" s="47" t="s">
        <v>245</v>
      </c>
      <c r="M61" s="47"/>
    </row>
    <row r="62" spans="1:13">
      <c r="A62" s="41"/>
      <c r="B62" s="42"/>
      <c r="C62" s="6"/>
      <c r="F62" s="78"/>
    </row>
    <row r="63" spans="1:13">
      <c r="A63" s="41"/>
      <c r="B63" s="42"/>
      <c r="C63" s="6"/>
      <c r="F63" s="78"/>
    </row>
  </sheetData>
  <autoFilter ref="K1:K63" xr:uid="{00000000-0001-0000-0100-000000000000}"/>
  <dataValidations count="1">
    <dataValidation type="list" allowBlank="1" showInputMessage="1" showErrorMessage="1" sqref="C2:C63" xr:uid="{1FB138CC-14EF-4406-9E7B-EC5039F9ECE1}">
      <formula1>"C,E,W"</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S122ValidationChecks metadata</vt:lpstr>
      <vt:lpstr>S122Checks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2026-03-27T06:52:16Z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