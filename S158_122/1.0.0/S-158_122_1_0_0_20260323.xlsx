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E:\work\git\S-122-Product-Specification-Development\S158_122\1.0.0\"/>
    </mc:Choice>
  </mc:AlternateContent>
  <xr:revisionPtr revIDLastSave="0" documentId="13_ncr:1_{0F4898AD-298B-4365-A0BF-3294727D115E}" xr6:coauthVersionLast="47" xr6:coauthVersionMax="47" xr10:uidLastSave="{00000000-0000-0000-0000-000000000000}"/>
  <bookViews>
    <workbookView xWindow="-120" yWindow="-120" windowWidth="28110" windowHeight="18240" tabRatio="647" activeTab="1" xr2:uid="{00000000-000D-0000-FFFF-FFFF00000000}"/>
  </bookViews>
  <sheets>
    <sheet name="S122ValidationChecks metadata" sheetId="11" r:id="rId1"/>
    <sheet name="S122Checks" sheetId="10" r:id="rId2"/>
  </sheets>
  <externalReferences>
    <externalReference r:id="rId3"/>
  </externalReferences>
  <definedNames>
    <definedName name="_xlnm._FilterDatabase" localSheetId="1" hidden="1">S122Checks!$K$1:$K$63</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0" l="1"/>
  <c r="A61" i="10"/>
  <c r="B60" i="10"/>
  <c r="A60" i="10"/>
  <c r="B59" i="10"/>
  <c r="A59" i="10"/>
  <c r="B58" i="10"/>
  <c r="A58" i="10"/>
  <c r="B57" i="10"/>
  <c r="A57" i="10"/>
  <c r="B56" i="10"/>
  <c r="A56" i="10"/>
  <c r="B55" i="10"/>
  <c r="A55" i="10"/>
  <c r="B54" i="10"/>
  <c r="A54" i="10"/>
  <c r="B53" i="10"/>
  <c r="A53" i="10"/>
  <c r="B52" i="10"/>
  <c r="A52" i="10"/>
  <c r="B51" i="10"/>
  <c r="A51" i="10"/>
  <c r="B50" i="10"/>
  <c r="A50" i="10"/>
  <c r="B49" i="10"/>
  <c r="A49" i="10"/>
  <c r="B48" i="10"/>
  <c r="A48" i="10"/>
  <c r="B47" i="10"/>
  <c r="A47" i="10"/>
  <c r="B46" i="10"/>
  <c r="A46" i="10"/>
  <c r="B45" i="10"/>
  <c r="A45" i="10"/>
  <c r="B44" i="10"/>
  <c r="A44" i="10"/>
  <c r="B43" i="10"/>
  <c r="A43" i="10"/>
  <c r="B42" i="10"/>
  <c r="A42" i="10"/>
  <c r="B41" i="10"/>
  <c r="A41" i="10"/>
  <c r="B40" i="10"/>
  <c r="B39" i="10"/>
  <c r="A40" i="10"/>
  <c r="A39" i="10"/>
  <c r="B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alcChain>
</file>

<file path=xl/sharedStrings.xml><?xml version="1.0" encoding="utf-8"?>
<sst xmlns="http://schemas.openxmlformats.org/spreadsheetml/2006/main" count="562" uniqueCount="318">
  <si>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</si>
  <si>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</si>
  <si>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</si>
  <si>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</si>
  <si>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</si>
  <si>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</si>
  <si>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</si>
  <si>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</si>
  <si>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</si>
  <si>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</si>
  <si>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</si>
  <si>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</si>
  <si>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</si>
  <si>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</si>
  <si>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</si>
  <si>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</si>
  <si>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</si>
  <si>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</si>
  <si>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</si>
  <si>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</si>
  <si>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</si>
  <si>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</si>
  <si>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</si>
  <si>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</si>
  <si>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</si>
  <si>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</si>
  <si>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</si>
  <si>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</si>
  <si>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</si>
  <si>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</si>
  <si>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</si>
  <si>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</si>
  <si>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For each feature object with an attribute of type Float or Integer where the value contains zeroes before the first numerical digit or after the last numerical digit.</t>
  </si>
  <si>
    <t>If the order of the data in a dataset is not correct.</t>
  </si>
  <si>
    <t>For each fixedDateRange where dateEnd or dateStart is not Null but the year component is not specified.</t>
  </si>
  <si>
    <t xml:space="preserve">Objects fall outside the coverage object. </t>
  </si>
  <si>
    <t>Name is encoded in national language only.</t>
  </si>
  <si>
    <t>Text is encoded in national language only</t>
  </si>
  <si>
    <t>Object outside area of coverage.</t>
  </si>
  <si>
    <t>Incorrect data order.</t>
  </si>
  <si>
    <t>Vertex density exceeds the allowable tolerance.</t>
  </si>
  <si>
    <t>Year is required in fixedDateRange dates.</t>
  </si>
  <si>
    <t>TextContent is not populated with meaningful information.</t>
  </si>
  <si>
    <t>Information is not populated with meaningful information.</t>
  </si>
  <si>
    <t>Contact address is not populated with meaningful information.</t>
  </si>
  <si>
    <t>Applicability is not populated with meaningful information.</t>
  </si>
  <si>
    <t>NonStandardWorkingDay not populated with meaningful information.</t>
  </si>
  <si>
    <t>ContactDetails not populated with meaningful information.</t>
  </si>
  <si>
    <t>Associated feature or information type not present.</t>
  </si>
  <si>
    <t>Values for file reference and locator combinations are identical.</t>
  </si>
  <si>
    <t>Ensure objects are not outside of the limits of the cell.</t>
  </si>
  <si>
    <t xml:space="preserve">Remove non-significant zeroes. </t>
  </si>
  <si>
    <t>Remove duplicate value from geo object.</t>
  </si>
  <si>
    <t>Ensure that national language attributes are populated with the correct values.</t>
  </si>
  <si>
    <t>Populate text attribute with English text.</t>
  </si>
  <si>
    <t>Populate name attribute with English text.</t>
  </si>
  <si>
    <t>Remove object or amend coverage.</t>
  </si>
  <si>
    <t>Amend data order.</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</si>
  <si>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</si>
  <si>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</si>
  <si>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</si>
  <si>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</si>
  <si>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</si>
  <si>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</si>
  <si>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</si>
  <si>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Populate at least one sub-attribute of contactAddress.</t>
  </si>
  <si>
    <t>Populate information or onlineResource.</t>
  </si>
  <si>
    <t>Populate fileReference or text attribute.</t>
  </si>
  <si>
    <t>DCEG</t>
  </si>
  <si>
    <t>B, S</t>
  </si>
  <si>
    <t>B, U</t>
  </si>
  <si>
    <t>B, U, S</t>
  </si>
  <si>
    <t>Apply To</t>
  </si>
  <si>
    <t>Remarks</t>
  </si>
  <si>
    <t>S-158:122</t>
  </si>
  <si>
    <t>MARINE PROTECTED AREAS VALIDATION CHECKS</t>
  </si>
  <si>
    <t>S-122 PS</t>
  </si>
  <si>
    <t>S-122 DCEG</t>
  </si>
  <si>
    <t>S-122 FC</t>
  </si>
  <si>
    <t>Metadata of S-122 Validation Check Specification</t>
  </si>
  <si>
    <t>For each feature object where its geometry is not COVERED_BY a DataCoverage</t>
  </si>
  <si>
    <t>If either QualityOfNonbathymetricData or DataCoverage meta objects do not exist within the data set.</t>
  </si>
  <si>
    <t>For each feature object with an attribute value identical to a corresponding attribute of a meta object it is COVERED_BY.</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</si>
  <si>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</si>
  <si>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fileLocator  subattributes are equal</t>
  </si>
  <si>
    <t>For each feature instance where periodicDateRange subattributes dateEnd and dateStart are notNull AND their values are identical.</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</si>
  <si>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</si>
  <si>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</si>
  <si>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</si>
  <si>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fixedDateRange where both dateEnd and dateStart are omitted or Null</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</si>
  <si>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</si>
  <si>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</si>
  <si>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</si>
  <si>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</si>
  <si>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</si>
  <si>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</si>
  <si>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</si>
  <si>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</si>
  <si>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</si>
  <si>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An attribute value of a meta object is duplicated on a geo object.</t>
  </si>
  <si>
    <t>Object has identical values of periodicDateRange subattributes dateEnd and dateStart.</t>
  </si>
  <si>
    <t>Time intervals within the same scheduleByDoW attribute overlap</t>
  </si>
  <si>
    <t>Schedule overlaps</t>
  </si>
  <si>
    <t>Dataset discovery metadata is missing for dataset</t>
  </si>
  <si>
    <t>Support file discovery metadata is missing for support file.</t>
  </si>
  <si>
    <t>Data crossing the 180° meridian</t>
  </si>
  <si>
    <t>FixedDateRange not Populated making the attribute meaningless.</t>
  </si>
  <si>
    <t>SourceIndication is not populated with meaningful information.</t>
  </si>
  <si>
    <t>Regulations, Restrictions, Recommendations, NauticalInformation not populated</t>
  </si>
  <si>
    <t>Empty update</t>
  </si>
  <si>
    <t>Include mandatory meta feature objects QualityOfNonbathymetricData or DataCoverage</t>
  </si>
  <si>
    <t xml:space="preserve">Change character encoding to UTF-8 </t>
  </si>
  <si>
    <t>Ensure that name subattributes are populated with the correct values.</t>
  </si>
  <si>
    <t>Ensure that text subattributes are populated with the correct values.</t>
  </si>
  <si>
    <t>Ensure values of periodicDateRange subattributes dateEnd and dateStart are logical.</t>
  </si>
  <si>
    <t>Add dataset discovery metadata</t>
  </si>
  <si>
    <t>Support file discovery metadata</t>
  </si>
  <si>
    <t>Populate at least one of dateEnd or dateStart</t>
  </si>
  <si>
    <t>Populate source indication</t>
  </si>
  <si>
    <t>Populate at least one of graphic or textInformation</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</si>
  <si>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</si>
  <si>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</si>
  <si>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</si>
  <si>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</si>
  <si>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122_ED1_100</t>
  </si>
  <si>
    <t>122_ED1_102</t>
  </si>
  <si>
    <t>122_ED1_103</t>
  </si>
  <si>
    <t>122_ED1_105</t>
  </si>
  <si>
    <t>122_ED1_106</t>
  </si>
  <si>
    <t>122_ED1_114</t>
  </si>
  <si>
    <t>122_ED1_115</t>
  </si>
  <si>
    <t>122_ED1_116</t>
  </si>
  <si>
    <t>122_ED1_117</t>
  </si>
  <si>
    <t>122_ED1_118</t>
  </si>
  <si>
    <t>122_ED1_119</t>
  </si>
  <si>
    <t>122_ED1_120</t>
  </si>
  <si>
    <t>122_ED1_122 </t>
  </si>
  <si>
    <t>122_ED1_126</t>
  </si>
  <si>
    <t>122_ED1_127</t>
  </si>
  <si>
    <t>122_ED1_129</t>
  </si>
  <si>
    <t>122_ED1_132</t>
  </si>
  <si>
    <t>122_ED1_133</t>
  </si>
  <si>
    <t>122_ED1_134</t>
  </si>
  <si>
    <t>122_ED1_136</t>
  </si>
  <si>
    <t>122_ED1_137</t>
  </si>
  <si>
    <t>122_ED1_138</t>
  </si>
  <si>
    <t>122_ED1_139</t>
  </si>
  <si>
    <t>122_ED1_144</t>
  </si>
  <si>
    <t>122_ED1_145</t>
  </si>
  <si>
    <t>122_ED1_146</t>
  </si>
  <si>
    <t>122_ED1_147</t>
  </si>
  <si>
    <t>122_ED1_148</t>
  </si>
  <si>
    <t>122_ED1_149</t>
  </si>
  <si>
    <t>122_ED1_150</t>
  </si>
  <si>
    <t>122_ED1_152</t>
  </si>
  <si>
    <t>122_ED1_153</t>
  </si>
  <si>
    <t>122_ED1_154</t>
  </si>
  <si>
    <t>122_ED1_156</t>
  </si>
  <si>
    <t>122_ED1_157</t>
  </si>
  <si>
    <t>122_ED1_161</t>
  </si>
  <si>
    <t>122_ED1_163</t>
  </si>
  <si>
    <t>U</t>
  </si>
  <si>
    <t>2.7.1</t>
  </si>
  <si>
    <t>Clause ref. updated in 2.0.0</t>
  </si>
  <si>
    <t>PS; DCEG</t>
  </si>
  <si>
    <t>Clause refs. added in 2.0.0</t>
  </si>
  <si>
    <t>N/A</t>
  </si>
  <si>
    <t>If the srsName values encoded in the dataset are different from http://www.opengis.net/def/crs/EPSG/0/4326</t>
  </si>
  <si>
    <t>W</t>
  </si>
  <si>
    <t>For each feature instance that does not OVERLAP OR is WITHIN an area of DataCoverage</t>
  </si>
  <si>
    <t>Clause ref. updated in 2.0.0; check reformulated</t>
  </si>
  <si>
    <t>Reformulated in terms of  display scale, refs. Updated</t>
  </si>
  <si>
    <t>For each catalogue in the exchange set for which there is no discovery metadata  in the exchange catalogue</t>
  </si>
  <si>
    <t>Ref. updated</t>
  </si>
  <si>
    <t>2.4.8.2, 17.19</t>
  </si>
  <si>
    <t>2.5.5.6</t>
  </si>
  <si>
    <t>For each update dataset, without a feature or information type, or spatial object</t>
  </si>
  <si>
    <t>Add updated feature or information type.</t>
  </si>
  <si>
    <t>Reformulated, file-less cancellation will have a discovery metadata record in CATALOG.XML but no dataset or support file</t>
  </si>
  <si>
    <t>8.1.1, 10.4.2</t>
  </si>
  <si>
    <t>No discovery metadata for catalogue.</t>
  </si>
  <si>
    <t>Add discovery metadata to exchange catalogue or remove catalogue from exchange set.</t>
  </si>
  <si>
    <t>Only file-less cancellation is permitted</t>
  </si>
  <si>
    <t>Modified to reflect use of only file-less cancellation</t>
  </si>
  <si>
    <t>Overlapping datasets within the same scale range</t>
  </si>
  <si>
    <t>C</t>
  </si>
  <si>
    <t>Correct coverages or scale ranges</t>
  </si>
  <si>
    <t>B</t>
  </si>
  <si>
    <t>Datasets in the same scale range have overlapping DataCoverage features</t>
  </si>
  <si>
    <t>E</t>
  </si>
  <si>
    <t>Character encoding for text must be UTF-8.</t>
  </si>
  <si>
    <t>Clause ref. updated in 2.0.0. Message harmonized with S-131 check</t>
  </si>
  <si>
    <t>Values of “name” sub attribute of “featureName” are identical.</t>
  </si>
  <si>
    <t>Values for “text” sub-attribute of “information” are identical.</t>
  </si>
  <si>
    <t>Message harmonized with S-131 checks</t>
  </si>
  <si>
    <t>Condition updated. Message harmonized with S-131 checks</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</si>
  <si>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</si>
  <si>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</si>
  <si>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</si>
  <si>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</si>
  <si>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</si>
  <si>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</si>
  <si>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</si>
  <si>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</si>
  <si>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</si>
  <si>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</si>
  <si>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</si>
  <si>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</si>
  <si>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</si>
  <si>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</si>
  <si>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</si>
  <si>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</si>
  <si>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2.4.9.2</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</si>
  <si>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</si>
  <si>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</si>
  <si>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</si>
  <si>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</si>
  <si>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</si>
  <si>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</si>
  <si>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</si>
  <si>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</si>
  <si>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</si>
  <si>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t>Correct language code.</t>
  </si>
  <si>
    <t>2.4.8.3</t>
  </si>
  <si>
    <t>Reference to S-100 languages list added. Contact NIPWG if language codes need to be added to the IHO list.</t>
  </si>
  <si>
    <t>[5.2.2]; [4.1]</t>
  </si>
  <si>
    <t>Horizontal CRS is not EPSG 4326.</t>
  </si>
  <si>
    <t>Set the horizontal CRS to EPSG 4326 using the OGC URI convention.</t>
  </si>
  <si>
    <t>Feature instance not covered by an QualityOfNonBathymetricData instance.</t>
  </si>
  <si>
    <t>For each feature instance which is not COVERED_BY the combined coverage of QualityOfNonBathymetricData  meta feature instance.</t>
  </si>
  <si>
    <t>Ensure full coverage of QualityOfNonBathymetricData instance</t>
  </si>
  <si>
    <t>Reclassified W as in S-131</t>
  </si>
  <si>
    <t>File is missing from exchange set.</t>
  </si>
  <si>
    <t>Modified to reflect use of file-less cancellation</t>
  </si>
  <si>
    <t>Values have been padded with non-significant zeroes.</t>
  </si>
  <si>
    <t>For each instance of ServiceHours with more than one instance of scheduleByDayOfWeek, and where an instance of scheduleByDayOfWeek has a temporal overlap with another instance of scheduleByDayOfWeek.</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</si>
  <si>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</si>
  <si>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</si>
  <si>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</si>
  <si>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</si>
  <si>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</si>
  <si>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</si>
  <si>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</si>
  <si>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</si>
  <si>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</si>
  <si>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B,U</t>
  </si>
  <si>
    <t>File locator does not reference a location in the file</t>
  </si>
  <si>
    <t>For each fileLocator with a value that does not indicate a location within the referenced file.</t>
  </si>
  <si>
    <t>Amend fileLocator value</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</si>
  <si>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</si>
  <si>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</si>
  <si>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</si>
  <si>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B,U,S</t>
  </si>
  <si>
    <t>6.1, 6.2, 7.9.3</t>
  </si>
  <si>
    <t>[7.3]; [2.6.3]</t>
  </si>
  <si>
    <t>2.4.10.3</t>
  </si>
  <si>
    <t>7.9.1</t>
  </si>
  <si>
    <t>2.4.10.3, 10.5.1</t>
  </si>
  <si>
    <t>10.5.1</t>
  </si>
  <si>
    <t>[7.4]; [2.6.10]</t>
  </si>
  <si>
    <t>5.2.1, 17.9, various</t>
  </si>
  <si>
    <t>5.2.1, various</t>
  </si>
  <si>
    <t>Encoding instructions for features and information types using attribute information</t>
  </si>
  <si>
    <t>8.2.2, 9.1</t>
  </si>
  <si>
    <t>11.5.1</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</si>
  <si>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</si>
  <si>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</si>
  <si>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</si>
  <si>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</si>
  <si>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</si>
  <si>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8.1.2</t>
  </si>
  <si>
    <t>Feature uses curve or point spatial primitive</t>
  </si>
  <si>
    <t>Encoding MPA features as surfaces is preferred</t>
  </si>
  <si>
    <t>Re-code using surface primitive</t>
  </si>
  <si>
    <t>6.1.1</t>
  </si>
  <si>
    <t>Value required for mandatory attribute</t>
  </si>
  <si>
    <t>Populate attribute</t>
  </si>
  <si>
    <t>One of sub-attributes "designationIdentifer" and "text" must be populated</t>
  </si>
  <si>
    <t>For each MarineProtectedArea.designation where designationIdentifer and text are both missing or null</t>
  </si>
  <si>
    <t>Populate sub-attribute designationIdentifier or text</t>
  </si>
  <si>
    <t>6.3.8</t>
  </si>
  <si>
    <t>MarineProtectedArea has attribute jurisdiction multiply populated</t>
  </si>
  <si>
    <t>For each MarineProtectedArea with attribute jurisdiction populated  as a direct attribute as well as a sub-attribute of complex attribute designation</t>
  </si>
  <si>
    <t>Populate jurisdiction as either attribute or sub-attribute but not both</t>
  </si>
  <si>
    <t>6.3.7</t>
  </si>
  <si>
    <t>NIPWG/S-122 TASK GROUP</t>
  </si>
  <si>
    <t>Nilled attribute code populated with non-nil code value</t>
  </si>
  <si>
    <t>For each nillable enumeration or codelist attribute where xsi:nil=true but attribute code is present and populated with a value &gt; 0</t>
  </si>
  <si>
    <t>Amend value of code or remove nilling</t>
  </si>
  <si>
    <t>B.U</t>
  </si>
  <si>
    <t>Nilled attribute without nilReason populated</t>
  </si>
  <si>
    <t>For each nilled attribute without nilReason populated</t>
  </si>
  <si>
    <t>Populate nilReason for nilled attributes</t>
  </si>
  <si>
    <t xml:space="preserve">Duplicate identifiers exist within the dataset. </t>
  </si>
  <si>
    <t>For each feature record  where the identifier is not unique WITHIN the dataset.</t>
  </si>
  <si>
    <t>Ensure that no duplicate identifiers exist.</t>
  </si>
  <si>
    <t xml:space="preserve">Mandatory meta feature objects are missing. </t>
  </si>
  <si>
    <t>Text field is not encoded using UTF-8</t>
  </si>
  <si>
    <t>For each feature instance where more than one featureName is present, and the name and nameUsage subattributes of two or more featureName instances are equal.</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</si>
  <si>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</si>
  <si>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timeIntervalsByDayOfWeek attribute. </t>
  </si>
  <si>
    <t>For each file referenced by the catalogue file in the exchange set and not present in the exchange set and not cancelled by discovery metadata</t>
  </si>
  <si>
    <t>dateEnd precedes or coincides with dateStart</t>
  </si>
  <si>
    <t>For each fixedDateRange where dateEnd and dateStart are not Null and dateEnd precedes or coincides with dateStart.</t>
  </si>
  <si>
    <t>For each cancellation (termination) of a dataset (discovery metadata record with purpose=cancellation) where the exchange set contains a corresponding dataset file</t>
  </si>
  <si>
    <t>Remove the dataset file from the exchange set or correct the discovery metadata</t>
  </si>
  <si>
    <r>
      <t xml:space="preserve">For each feature, information type or complex attribute where two or more </t>
    </r>
    <r>
      <rPr>
        <i/>
        <sz val="10"/>
        <rFont val="Calibri"/>
        <family val="2"/>
        <scheme val="minor"/>
      </rPr>
      <t>information</t>
    </r>
    <r>
      <rPr>
        <sz val="10"/>
        <rFont val="Calibri"/>
        <family val="2"/>
        <scheme val="minor"/>
      </rPr>
      <t xml:space="preserve"> complex attributes are present AND they have different language value AND identical pair of  notNull values of the sub-attributes fileLocator and fileReference.</t>
    </r>
  </si>
  <si>
    <r>
      <t xml:space="preserve">For each </t>
    </r>
    <r>
      <rPr>
        <i/>
        <sz val="10"/>
        <rFont val="Calibri"/>
        <family val="2"/>
        <scheme val="minor"/>
      </rPr>
      <t>language</t>
    </r>
    <r>
      <rPr>
        <sz val="10"/>
        <rFont val="Calibri"/>
        <family val="2"/>
        <scheme val="minor"/>
      </rPr>
      <t xml:space="preserve"> attribute which is populated with a value other than one of the 3-character ISO 639-2/T codes in the S-100 languages list on the schema server.</t>
    </r>
  </si>
  <si>
    <t>Redundancy check.</t>
  </si>
  <si>
    <t>Remarks for textContent, from GI registry</t>
  </si>
  <si>
    <t>Remarks for information complex attribute from GI registry</t>
  </si>
  <si>
    <t>12.10</t>
  </si>
  <si>
    <t>[12.13]; [5.2.1]</t>
  </si>
  <si>
    <t>[12.13]; [10.4]</t>
  </si>
  <si>
    <t>4.3.2</t>
  </si>
  <si>
    <t>4.3.1</t>
  </si>
  <si>
    <t>12.2.1</t>
  </si>
  <si>
    <t>For each attribute binding listed in in DCEG clause 2.4 as not nillable AND which is not populated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</si>
</sst>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0">
    <font>
      <sz val="11"/>
      <color theme="1"/>
      <name val="Calibri"/>
      <charset val="134"/>
      <scheme val="minor"/>
    </font>
    <font>
      <sz val="1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i/>
      <sz val="1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8">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
      <left style="medium">
        <color auto="1"/>
      </left>
      <right style="medium">
        <color rgb="FF000000"/>
      </right>
      <top style="medium">
        <color auto="1"/>
      </top>
      <bottom style="medium">
        <color auto="1"/>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diagonal/>
    </border>
  </borders>
  <cellStyleXfs count="3">
    <xf numFmtId="0" fontId="0" fillId="0" borderId="0"/>
    <xf numFmtId="0" fontId="6" fillId="7" borderId="0" applyNumberFormat="0" applyBorder="0" applyAlignment="0" applyProtection="0"/>
    <xf numFmtId="0" fontId="7" fillId="8" borderId="0" applyNumberFormat="0" applyBorder="0" applyAlignment="0" applyProtection="0"/>
  </cellStyleXfs>
  <cellXfs count="91">
    <xf numFmtId="0" fontId="0" fillId="0" borderId="0" xfId="0"/>
    <xf numFmtId="0" fontId="1"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2" fillId="0" borderId="0" xfId="0" applyFont="1"/>
    <xf numFmtId="0" fontId="0" fillId="0" borderId="0" xfId="0" applyAlignment="1">
      <alignment horizontal="right" vertical="center"/>
    </xf>
    <xf numFmtId="0" fontId="0" fillId="0" borderId="0" xfId="0" applyAlignment="1">
      <alignment horizontal="right"/>
    </xf>
    <xf numFmtId="0" fontId="4" fillId="4" borderId="7" xfId="0" applyFont="1" applyFill="1" applyBorder="1" applyAlignment="1">
      <alignment horizontal="right" vertical="center"/>
    </xf>
    <xf numFmtId="0" fontId="5" fillId="3" borderId="0" xfId="0" applyFont="1" applyFill="1" applyAlignment="1">
      <alignment horizontal="left" vertical="center"/>
    </xf>
    <xf numFmtId="0" fontId="2" fillId="3" borderId="0" xfId="0" applyFont="1" applyFill="1"/>
    <xf numFmtId="0" fontId="5" fillId="3" borderId="0" xfId="0" applyFont="1" applyFill="1" applyAlignment="1">
      <alignment horizontal="center" vertical="center"/>
    </xf>
    <xf numFmtId="165" fontId="5" fillId="3" borderId="0" xfId="0" applyNumberFormat="1" applyFont="1" applyFill="1" applyAlignment="1">
      <alignment horizontal="center" vertical="center"/>
    </xf>
    <xf numFmtId="164" fontId="5" fillId="3" borderId="0" xfId="0" applyNumberFormat="1" applyFont="1" applyFill="1" applyAlignment="1">
      <alignment horizontal="center" vertical="center"/>
    </xf>
    <xf numFmtId="14" fontId="5" fillId="3" borderId="0" xfId="0" applyNumberFormat="1" applyFont="1" applyFill="1" applyAlignment="1">
      <alignment horizontal="center" vertical="center"/>
    </xf>
    <xf numFmtId="0" fontId="4" fillId="5" borderId="7" xfId="0" applyFont="1" applyFill="1" applyBorder="1" applyAlignment="1">
      <alignment horizontal="right" vertical="center"/>
    </xf>
    <xf numFmtId="0" fontId="4" fillId="5" borderId="0" xfId="0" applyFont="1" applyFill="1" applyAlignment="1">
      <alignment horizontal="center" vertical="center"/>
    </xf>
    <xf numFmtId="0" fontId="4" fillId="5" borderId="0" xfId="0" applyFont="1" applyFill="1"/>
    <xf numFmtId="0" fontId="5" fillId="3" borderId="8" xfId="0" applyFont="1" applyFill="1" applyBorder="1"/>
    <xf numFmtId="0" fontId="5" fillId="3" borderId="9" xfId="0" applyFont="1" applyFill="1" applyBorder="1" applyAlignment="1">
      <alignment horizontal="left" vertical="center"/>
    </xf>
    <xf numFmtId="0" fontId="5" fillId="3" borderId="0" xfId="0" applyFont="1" applyFill="1" applyAlignment="1">
      <alignment horizontal="left"/>
    </xf>
    <xf numFmtId="0" fontId="2" fillId="3" borderId="9" xfId="0" applyFont="1" applyFill="1" applyBorder="1" applyAlignment="1">
      <alignment horizontal="left"/>
    </xf>
    <xf numFmtId="0" fontId="2" fillId="3" borderId="9" xfId="0" applyFont="1" applyFill="1" applyBorder="1"/>
    <xf numFmtId="0" fontId="2" fillId="3" borderId="0" xfId="0" applyFont="1" applyFill="1" applyAlignment="1">
      <alignment horizontal="left"/>
    </xf>
    <xf numFmtId="0" fontId="2" fillId="3" borderId="11" xfId="0" applyFont="1" applyFill="1" applyBorder="1" applyAlignment="1">
      <alignment horizontal="right" vertical="center"/>
    </xf>
    <xf numFmtId="0" fontId="2" fillId="3" borderId="12" xfId="0" applyFont="1" applyFill="1" applyBorder="1" applyAlignment="1">
      <alignment horizontal="right"/>
    </xf>
    <xf numFmtId="0" fontId="2" fillId="3" borderId="12" xfId="0" applyFont="1" applyFill="1" applyBorder="1"/>
    <xf numFmtId="0" fontId="2" fillId="0" borderId="0" xfId="0" applyFont="1" applyAlignment="1">
      <alignment horizontal="right" vertical="center"/>
    </xf>
    <xf numFmtId="0" fontId="2" fillId="0" borderId="0" xfId="0" applyFont="1" applyAlignment="1">
      <alignment horizontal="right"/>
    </xf>
    <xf numFmtId="0" fontId="3" fillId="0" borderId="0" xfId="0" applyFont="1"/>
    <xf numFmtId="0" fontId="2" fillId="3" borderId="14" xfId="0" applyFont="1" applyFill="1" applyBorder="1"/>
    <xf numFmtId="0" fontId="4" fillId="6" borderId="0" xfId="0" applyFont="1" applyFill="1"/>
    <xf numFmtId="0" fontId="5" fillId="3" borderId="0" xfId="0" applyFont="1" applyFill="1"/>
    <xf numFmtId="0" fontId="5" fillId="3" borderId="9" xfId="0" applyFont="1" applyFill="1" applyBorder="1"/>
    <xf numFmtId="0" fontId="5" fillId="3" borderId="10" xfId="0" applyFont="1" applyFill="1" applyBorder="1"/>
    <xf numFmtId="0" fontId="2" fillId="3" borderId="15" xfId="0" applyFont="1" applyFill="1" applyBorder="1"/>
    <xf numFmtId="49" fontId="8" fillId="3" borderId="0" xfId="0" applyNumberFormat="1" applyFont="1" applyFill="1" applyAlignment="1">
      <alignment horizontal="center"/>
    </xf>
    <xf numFmtId="0" fontId="8" fillId="3" borderId="8" xfId="0" applyFont="1" applyFill="1" applyBorder="1"/>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8" fillId="3" borderId="0" xfId="0" applyFont="1" applyFill="1" applyAlignment="1">
      <alignment horizontal="left" vertical="center"/>
    </xf>
    <xf numFmtId="0" fontId="8" fillId="3" borderId="10" xfId="0" applyFont="1" applyFill="1" applyBorder="1" applyAlignment="1">
      <alignment horizontal="left"/>
    </xf>
    <xf numFmtId="0" fontId="8" fillId="3" borderId="0" xfId="0" applyFont="1" applyFill="1"/>
    <xf numFmtId="0" fontId="1" fillId="0" borderId="1" xfId="0" applyFont="1" applyBorder="1"/>
    <xf numFmtId="0" fontId="1" fillId="0" borderId="1" xfId="0" applyFont="1" applyBorder="1" applyAlignment="1">
      <alignment wrapText="1"/>
    </xf>
    <xf numFmtId="0" fontId="1" fillId="0" borderId="18" xfId="0" applyFont="1" applyBorder="1" applyAlignment="1">
      <alignment horizontal="left" vertical="center" wrapText="1"/>
    </xf>
    <xf numFmtId="0" fontId="1" fillId="0" borderId="19" xfId="0" applyFont="1" applyBorder="1" applyAlignment="1">
      <alignment horizontal="justify" vertical="center" wrapText="1"/>
    </xf>
    <xf numFmtId="0" fontId="1" fillId="0" borderId="18" xfId="0" applyFont="1" applyBorder="1" applyAlignment="1">
      <alignment horizontal="left" wrapText="1"/>
    </xf>
    <xf numFmtId="0" fontId="1" fillId="10" borderId="19" xfId="0" applyFont="1" applyFill="1" applyBorder="1" applyAlignment="1">
      <alignment horizontal="justify" vertical="center" wrapText="1"/>
    </xf>
    <xf numFmtId="0" fontId="1" fillId="0" borderId="3" xfId="0" applyFont="1" applyBorder="1" applyAlignment="1">
      <alignment horizontal="left" vertical="center" wrapText="1"/>
    </xf>
    <xf numFmtId="0" fontId="1" fillId="0" borderId="26" xfId="0" applyFont="1" applyBorder="1" applyAlignment="1">
      <alignment horizontal="center" vertical="center" wrapText="1"/>
    </xf>
    <xf numFmtId="0" fontId="1" fillId="0" borderId="1" xfId="0" applyFont="1" applyBorder="1" applyAlignment="1">
      <alignment horizontal="left" wrapText="1"/>
    </xf>
    <xf numFmtId="0" fontId="1" fillId="0" borderId="25" xfId="0" applyFont="1" applyBorder="1" applyAlignment="1">
      <alignment horizontal="left" vertical="center"/>
    </xf>
    <xf numFmtId="0" fontId="1" fillId="0" borderId="1" xfId="0" applyFont="1" applyBorder="1" applyAlignment="1">
      <alignment horizontal="center"/>
    </xf>
    <xf numFmtId="0" fontId="1" fillId="0" borderId="1" xfId="0" applyFont="1" applyBorder="1" applyAlignment="1">
      <alignment vertical="center"/>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1" fillId="10" borderId="1" xfId="0" applyFont="1" applyFill="1" applyBorder="1" applyAlignment="1">
      <alignment horizontal="justify" vertical="center" wrapText="1"/>
    </xf>
    <xf numFmtId="0" fontId="1" fillId="9" borderId="1" xfId="0" applyFont="1" applyFill="1" applyBorder="1" applyAlignment="1">
      <alignment vertical="center" wrapText="1"/>
    </xf>
    <xf numFmtId="0" fontId="1" fillId="2" borderId="1" xfId="0" applyFont="1" applyFill="1" applyBorder="1" applyAlignment="1">
      <alignment vertical="center" wrapText="1"/>
    </xf>
    <xf numFmtId="0" fontId="1" fillId="2" borderId="24" xfId="0" applyFont="1" applyFill="1" applyBorder="1" applyAlignment="1">
      <alignment vertical="center" wrapText="1"/>
    </xf>
    <xf numFmtId="0" fontId="1" fillId="9" borderId="24" xfId="0" applyFont="1" applyFill="1" applyBorder="1" applyAlignment="1">
      <alignment vertical="center" wrapText="1"/>
    </xf>
    <xf numFmtId="0" fontId="1" fillId="9" borderId="0" xfId="0" applyFont="1" applyFill="1" applyAlignment="1">
      <alignment wrapText="1"/>
    </xf>
    <xf numFmtId="0" fontId="1" fillId="10" borderId="18" xfId="0" applyFont="1" applyFill="1" applyBorder="1" applyAlignment="1">
      <alignment horizontal="justify" vertical="center" wrapText="1"/>
    </xf>
    <xf numFmtId="0" fontId="1" fillId="0" borderId="21" xfId="0" applyFont="1" applyBorder="1" applyAlignment="1">
      <alignment horizontal="left" vertical="center" wrapText="1"/>
    </xf>
    <xf numFmtId="0" fontId="1" fillId="0" borderId="18" xfId="1" applyFont="1" applyFill="1" applyBorder="1" applyAlignment="1">
      <alignment horizontal="left" vertical="center" wrapText="1"/>
    </xf>
    <xf numFmtId="0" fontId="1" fillId="0" borderId="18" xfId="2" applyFont="1" applyFill="1" applyBorder="1" applyAlignment="1">
      <alignment horizontal="left" vertical="center" wrapText="1"/>
    </xf>
    <xf numFmtId="49" fontId="1" fillId="0" borderId="18" xfId="1" applyNumberFormat="1" applyFont="1" applyFill="1" applyBorder="1" applyAlignment="1">
      <alignment horizontal="left" vertical="center" wrapText="1"/>
    </xf>
    <xf numFmtId="0" fontId="1" fillId="0" borderId="4" xfId="0" applyFont="1" applyBorder="1" applyAlignment="1">
      <alignment horizontal="center" vertical="center"/>
    </xf>
    <xf numFmtId="0" fontId="1" fillId="10" borderId="18" xfId="0" applyFont="1" applyFill="1" applyBorder="1" applyAlignment="1">
      <alignment horizontal="left" vertical="center" wrapText="1"/>
    </xf>
    <xf numFmtId="0" fontId="1" fillId="0" borderId="18" xfId="0" applyFont="1" applyBorder="1" applyAlignment="1">
      <alignment wrapText="1"/>
    </xf>
    <xf numFmtId="0" fontId="1" fillId="10" borderId="20" xfId="0" applyFont="1" applyFill="1" applyBorder="1" applyAlignment="1">
      <alignment horizontal="justify" vertical="center" wrapText="1"/>
    </xf>
    <xf numFmtId="0" fontId="1" fillId="0" borderId="27" xfId="0" applyFont="1" applyBorder="1" applyAlignment="1">
      <alignment horizontal="left" wrapText="1"/>
    </xf>
    <xf numFmtId="0" fontId="1" fillId="0" borderId="19" xfId="0" applyFont="1" applyBorder="1" applyAlignment="1">
      <alignment horizontal="left" wrapText="1"/>
    </xf>
    <xf numFmtId="0" fontId="1" fillId="0" borderId="1" xfId="0" applyFont="1" applyBorder="1" applyAlignment="1">
      <alignment horizontal="justify" vertical="center" wrapText="1"/>
    </xf>
    <xf numFmtId="0" fontId="1" fillId="0" borderId="0" xfId="0" applyFont="1" applyAlignment="1">
      <alignment horizontal="left" wrapText="1"/>
    </xf>
    <xf numFmtId="0" fontId="1" fillId="0" borderId="0" xfId="0" applyFont="1" applyAlignment="1">
      <alignment vertical="center"/>
    </xf>
    <xf numFmtId="49" fontId="1" fillId="9" borderId="1" xfId="0" applyNumberFormat="1" applyFont="1" applyFill="1" applyBorder="1" applyAlignment="1">
      <alignment horizontal="center" vertical="center" wrapText="1"/>
    </xf>
    <xf numFmtId="49" fontId="1" fillId="0" borderId="22" xfId="0" applyNumberFormat="1" applyFont="1" applyBorder="1" applyAlignment="1">
      <alignment horizontal="center" vertical="center" wrapText="1"/>
    </xf>
    <xf numFmtId="49" fontId="1" fillId="0" borderId="23" xfId="0" applyNumberFormat="1" applyFont="1" applyBorder="1" applyAlignment="1">
      <alignment horizontal="center" vertical="center" wrapText="1"/>
    </xf>
    <xf numFmtId="49" fontId="1" fillId="0" borderId="1" xfId="0" applyNumberFormat="1" applyFont="1" applyBorder="1" applyAlignment="1">
      <alignment horizontal="center" vertical="center" wrapText="1"/>
    </xf>
    <xf numFmtId="49" fontId="1" fillId="0" borderId="23" xfId="0" applyNumberFormat="1" applyFont="1" applyBorder="1" applyAlignment="1">
      <alignment horizontal="center" wrapText="1"/>
    </xf>
    <xf numFmtId="49" fontId="1" fillId="0" borderId="1" xfId="0" applyNumberFormat="1" applyFont="1" applyBorder="1" applyAlignment="1">
      <alignment horizontal="center" wrapText="1"/>
    </xf>
    <xf numFmtId="49" fontId="1" fillId="0" borderId="0" xfId="0" applyNumberFormat="1" applyFont="1" applyAlignment="1">
      <alignment horizontal="center" wrapText="1"/>
    </xf>
    <xf numFmtId="0" fontId="3" fillId="3" borderId="5" xfId="0" applyFont="1" applyFill="1" applyBorder="1" applyAlignment="1">
      <alignment horizontal="center" vertical="center"/>
    </xf>
    <xf numFmtId="0" fontId="3" fillId="3" borderId="6" xfId="0" applyFont="1" applyFill="1" applyBorder="1" applyAlignment="1">
      <alignment horizontal="center" vertical="center"/>
    </xf>
    <xf numFmtId="0" fontId="3" fillId="3" borderId="13" xfId="0" applyFont="1" applyFill="1" applyBorder="1" applyAlignment="1">
      <alignment horizontal="center" vertical="center"/>
    </xf>
    <xf numFmtId="0" fontId="4" fillId="5" borderId="7" xfId="0" applyFont="1" applyFill="1" applyBorder="1" applyAlignment="1">
      <alignment horizontal="right" vertical="center"/>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9" sqref="C9"/>
    </sheetView>
  </sheetViews>
  <sheetFormatPr defaultColWidth="9" defaultRowHeight="15"/>
  <cols>
    <col min="1" max="1" width="4.85546875" customWidth="1"/>
    <col min="2" max="2" width="20.85546875" style="9" customWidth="1"/>
    <col min="3" max="3" width="36.42578125" style="10" customWidth="1"/>
    <col min="4" max="4" width="12.42578125" customWidth="1"/>
    <col min="5" max="6" width="14.7109375" customWidth="1"/>
    <col min="7" max="7" width="6.42578125" customWidth="1"/>
  </cols>
  <sheetData>
    <row r="2" spans="2:8" ht="33.6" customHeight="1">
      <c r="B2" s="87" t="s">
        <v>79</v>
      </c>
      <c r="C2" s="88"/>
      <c r="D2" s="88"/>
      <c r="E2" s="88"/>
      <c r="F2" s="88"/>
      <c r="G2" s="89"/>
      <c r="H2" s="32"/>
    </row>
    <row r="3" spans="2:8" s="8" customFormat="1" ht="20.45" customHeight="1">
      <c r="B3" s="11" t="s">
        <v>0</v>
      </c>
      <c r="C3" s="12" t="s">
        <v>74</v>
      </c>
      <c r="D3" s="13"/>
      <c r="E3" s="13"/>
      <c r="F3" s="13"/>
      <c r="G3" s="33"/>
    </row>
    <row r="4" spans="2:8" s="8" customFormat="1" ht="20.45" customHeight="1">
      <c r="B4" s="11" t="s">
        <v>1</v>
      </c>
      <c r="C4" s="43" t="s">
        <v>75</v>
      </c>
      <c r="D4" s="13"/>
      <c r="E4" s="13"/>
      <c r="F4" s="13"/>
      <c r="G4" s="33"/>
    </row>
    <row r="5" spans="2:8" s="8" customFormat="1" ht="20.45" customHeight="1">
      <c r="B5" s="11" t="s">
        <v>2</v>
      </c>
      <c r="C5" s="12" t="s">
        <v>3</v>
      </c>
      <c r="D5" s="13"/>
      <c r="E5" s="13"/>
      <c r="F5" s="13"/>
      <c r="G5" s="33"/>
    </row>
    <row r="6" spans="2:8" s="8" customFormat="1" ht="20.45" customHeight="1">
      <c r="B6" s="11" t="s">
        <v>4</v>
      </c>
      <c r="C6" s="14" t="s">
        <v>27</v>
      </c>
      <c r="D6" s="13"/>
      <c r="E6" s="13"/>
      <c r="F6" s="13"/>
      <c r="G6" s="33"/>
    </row>
    <row r="7" spans="2:8" s="8" customFormat="1" ht="20.45" customHeight="1">
      <c r="B7" s="11" t="s">
        <v>5</v>
      </c>
      <c r="C7" s="39" t="s">
        <v>31</v>
      </c>
      <c r="D7" s="13"/>
      <c r="E7" s="13"/>
      <c r="F7" s="13"/>
      <c r="G7" s="33"/>
    </row>
    <row r="8" spans="2:8" s="8" customFormat="1" ht="20.45" customHeight="1">
      <c r="B8" s="11" t="s">
        <v>6</v>
      </c>
      <c r="C8" s="15">
        <v>46104</v>
      </c>
      <c r="D8" s="13"/>
      <c r="E8" s="13"/>
      <c r="F8" s="13"/>
      <c r="G8" s="33"/>
    </row>
    <row r="9" spans="2:8" s="8" customFormat="1" ht="20.45" customHeight="1">
      <c r="B9" s="11" t="s">
        <v>7</v>
      </c>
      <c r="C9" s="16">
        <v>46023</v>
      </c>
      <c r="D9" s="13"/>
      <c r="E9" s="13"/>
      <c r="F9" s="13"/>
      <c r="G9" s="33"/>
    </row>
    <row r="10" spans="2:8" s="8" customFormat="1" ht="20.45" customHeight="1">
      <c r="B10" s="11" t="s">
        <v>8</v>
      </c>
      <c r="C10" s="17" t="s">
        <v>9</v>
      </c>
      <c r="D10" s="13"/>
      <c r="E10" s="13"/>
      <c r="F10" s="13"/>
      <c r="G10" s="33"/>
    </row>
    <row r="11" spans="2:8" s="8" customFormat="1" ht="20.45" customHeight="1">
      <c r="B11" s="11" t="s">
        <v>10</v>
      </c>
      <c r="C11" s="14" t="s">
        <v>285</v>
      </c>
      <c r="D11" s="13"/>
      <c r="E11" s="13"/>
      <c r="F11" s="13"/>
      <c r="G11" s="33"/>
    </row>
    <row r="12" spans="2:8" s="8" customFormat="1" ht="15" customHeight="1">
      <c r="B12" s="18"/>
      <c r="C12" s="19" t="s">
        <v>1</v>
      </c>
      <c r="D12" s="20" t="s">
        <v>11</v>
      </c>
      <c r="E12" s="34" t="s">
        <v>12</v>
      </c>
      <c r="F12" s="34"/>
      <c r="G12" s="33"/>
    </row>
    <row r="13" spans="2:8" s="8" customFormat="1" ht="20.45" customHeight="1">
      <c r="B13" s="90" t="s">
        <v>13</v>
      </c>
      <c r="C13" s="12" t="s">
        <v>76</v>
      </c>
      <c r="D13" s="40" t="s">
        <v>28</v>
      </c>
      <c r="E13" s="21"/>
      <c r="F13" s="35"/>
      <c r="G13" s="33"/>
    </row>
    <row r="14" spans="2:8" s="8" customFormat="1" ht="20.45" customHeight="1">
      <c r="B14" s="90"/>
      <c r="C14" s="22" t="s">
        <v>77</v>
      </c>
      <c r="D14" s="40" t="s">
        <v>28</v>
      </c>
      <c r="E14" s="36"/>
      <c r="F14" s="37"/>
      <c r="G14" s="33"/>
    </row>
    <row r="15" spans="2:8" s="8" customFormat="1" ht="20.45" customHeight="1">
      <c r="B15" s="90"/>
      <c r="C15" s="23" t="s">
        <v>78</v>
      </c>
      <c r="D15" s="40" t="s">
        <v>28</v>
      </c>
      <c r="E15" s="35"/>
      <c r="F15" s="36"/>
      <c r="G15" s="33"/>
    </row>
    <row r="16" spans="2:8" s="8" customFormat="1" ht="20.45" customHeight="1">
      <c r="B16" s="90"/>
      <c r="C16" s="44" t="s">
        <v>29</v>
      </c>
      <c r="D16" s="45" t="s">
        <v>30</v>
      </c>
      <c r="E16" s="25"/>
      <c r="F16" s="25"/>
      <c r="G16" s="33"/>
    </row>
    <row r="17" spans="2:7" s="8" customFormat="1" ht="20.45" customHeight="1">
      <c r="B17" s="90"/>
      <c r="C17" s="24"/>
      <c r="D17" s="25"/>
      <c r="E17" s="25"/>
      <c r="F17" s="25"/>
      <c r="G17" s="33"/>
    </row>
    <row r="18" spans="2:7" s="8" customFormat="1" ht="20.45" customHeight="1">
      <c r="B18" s="90"/>
      <c r="C18" s="26"/>
      <c r="D18" s="13"/>
      <c r="E18" s="13"/>
      <c r="F18" s="13"/>
      <c r="G18" s="33"/>
    </row>
    <row r="19" spans="2:7" s="8" customFormat="1" ht="20.45" customHeight="1">
      <c r="B19" s="27"/>
      <c r="C19" s="28"/>
      <c r="D19" s="29"/>
      <c r="E19" s="29"/>
      <c r="F19" s="29"/>
      <c r="G19" s="38"/>
    </row>
    <row r="20" spans="2:7" s="8" customFormat="1" ht="20.45" customHeight="1">
      <c r="B20" s="30"/>
      <c r="C20" s="31"/>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63"/>
  <sheetViews>
    <sheetView tabSelected="1" zoomScaleNormal="100" workbookViewId="0">
      <pane ySplit="1" topLeftCell="A54" activePane="bottomLeft" state="frozen"/>
      <selection pane="bottomLeft" activeCell="D19" sqref="D19"/>
    </sheetView>
  </sheetViews>
  <sheetFormatPr defaultColWidth="11.42578125" defaultRowHeight="12.75"/>
  <cols>
    <col min="1" max="1" width="12.42578125" style="2" customWidth="1"/>
    <col min="2" max="2" width="11.42578125" style="3"/>
    <col min="3" max="3" width="11.42578125" style="2"/>
    <col min="4" max="4" width="34.5703125" style="4" customWidth="1"/>
    <col min="5" max="5" width="57.28515625" style="4" customWidth="1"/>
    <col min="6" max="6" width="34.140625" style="4" customWidth="1"/>
    <col min="7" max="7" width="17.7109375" style="79" customWidth="1"/>
    <col min="8" max="8" width="11.42578125" style="86" customWidth="1"/>
    <col min="9" max="9" width="10.28515625" style="1" customWidth="1"/>
    <col min="10" max="10" width="9.28515625" style="1" customWidth="1"/>
    <col min="11" max="11" width="8.85546875" style="1" customWidth="1"/>
    <col min="12" max="12" width="9.42578125" style="4" customWidth="1"/>
    <col min="13" max="13" width="25.5703125" style="4" customWidth="1"/>
    <col min="14" max="14" width="11.42578125" style="4"/>
    <col min="15" max="16384" width="11.42578125" style="1"/>
  </cols>
  <sheetData>
    <row r="1" spans="1:13" ht="30" customHeight="1" thickBot="1">
      <c r="A1" s="5" t="s">
        <v>14</v>
      </c>
      <c r="B1" s="5" t="s">
        <v>15</v>
      </c>
      <c r="C1" s="5" t="s">
        <v>16</v>
      </c>
      <c r="D1" s="5" t="s">
        <v>17</v>
      </c>
      <c r="E1" s="5" t="s">
        <v>18</v>
      </c>
      <c r="F1" s="5" t="s">
        <v>19</v>
      </c>
      <c r="G1" s="61" t="s">
        <v>20</v>
      </c>
      <c r="H1" s="80" t="s">
        <v>21</v>
      </c>
      <c r="I1" s="62" t="s">
        <v>22</v>
      </c>
      <c r="J1" s="63" t="s">
        <v>23</v>
      </c>
      <c r="K1" s="63" t="s">
        <v>24</v>
      </c>
      <c r="L1" s="64" t="s">
        <v>72</v>
      </c>
      <c r="M1" s="65" t="s">
        <v>73</v>
      </c>
    </row>
    <row r="2" spans="1:13" ht="26.25" thickBot="1">
      <c r="A2" s="41" t="s">
        <v>124</v>
      </c>
      <c r="B2" s="42" t="str">
        <f>_xlfn.CONCAT("122_", TEXT(ROW()-1, "0000"))</f>
        <v>122_0001</v>
      </c>
      <c r="C2" s="6" t="s">
        <v>189</v>
      </c>
      <c r="D2" s="66" t="s">
        <v>35</v>
      </c>
      <c r="E2" s="66" t="s">
        <v>80</v>
      </c>
      <c r="F2" s="67" t="s">
        <v>50</v>
      </c>
      <c r="G2" s="66" t="s">
        <v>25</v>
      </c>
      <c r="H2" s="81">
        <v>7.3</v>
      </c>
      <c r="I2" s="47" t="s">
        <v>31</v>
      </c>
      <c r="J2" s="46"/>
      <c r="K2" s="46"/>
      <c r="L2" s="60" t="s">
        <v>69</v>
      </c>
      <c r="M2" s="47" t="s">
        <v>163</v>
      </c>
    </row>
    <row r="3" spans="1:13" ht="26.25" thickBot="1">
      <c r="A3" s="41" t="s">
        <v>125</v>
      </c>
      <c r="B3" s="42" t="str">
        <f t="shared" ref="B3:B41" si="0">_xlfn.CONCAT("122_", TEXT(ROW()-1, "0000"))</f>
        <v>122_0002</v>
      </c>
      <c r="C3" s="7" t="s">
        <v>189</v>
      </c>
      <c r="D3" s="51" t="s">
        <v>293</v>
      </c>
      <c r="E3" s="51" t="s">
        <v>294</v>
      </c>
      <c r="F3" s="48" t="s">
        <v>295</v>
      </c>
      <c r="G3" s="51" t="s">
        <v>25</v>
      </c>
      <c r="H3" s="81">
        <v>12.8</v>
      </c>
      <c r="I3" s="47" t="s">
        <v>31</v>
      </c>
      <c r="J3" s="46"/>
      <c r="K3" s="46"/>
      <c r="L3" s="60" t="s">
        <v>71</v>
      </c>
      <c r="M3" s="47" t="s">
        <v>163</v>
      </c>
    </row>
    <row r="4" spans="1:13" ht="39" thickBot="1">
      <c r="A4" s="41" t="s">
        <v>126</v>
      </c>
      <c r="B4" s="42" t="str">
        <f t="shared" si="0"/>
        <v>122_0003</v>
      </c>
      <c r="C4" s="7" t="s">
        <v>185</v>
      </c>
      <c r="D4" s="51" t="s">
        <v>296</v>
      </c>
      <c r="E4" s="51" t="s">
        <v>81</v>
      </c>
      <c r="F4" s="48" t="s">
        <v>110</v>
      </c>
      <c r="G4" s="51" t="s">
        <v>68</v>
      </c>
      <c r="H4" s="81">
        <v>4.2</v>
      </c>
      <c r="I4" s="47" t="s">
        <v>31</v>
      </c>
      <c r="J4" s="46"/>
      <c r="K4" s="46"/>
      <c r="L4" s="60" t="s">
        <v>69</v>
      </c>
      <c r="M4" s="47" t="s">
        <v>163</v>
      </c>
    </row>
    <row r="5" spans="1:13" ht="39" thickBot="1">
      <c r="A5" s="41" t="s">
        <v>127</v>
      </c>
      <c r="B5" s="42" t="str">
        <f t="shared" si="0"/>
        <v>122_0004</v>
      </c>
      <c r="C5" s="7" t="s">
        <v>168</v>
      </c>
      <c r="D5" s="51" t="s">
        <v>234</v>
      </c>
      <c r="E5" s="51" t="s">
        <v>32</v>
      </c>
      <c r="F5" s="68" t="s">
        <v>51</v>
      </c>
      <c r="G5" s="51" t="s">
        <v>25</v>
      </c>
      <c r="H5" s="81">
        <v>12.4</v>
      </c>
      <c r="I5" s="47" t="s">
        <v>31</v>
      </c>
      <c r="J5" s="47"/>
      <c r="K5" s="47"/>
      <c r="L5" s="60" t="s">
        <v>70</v>
      </c>
      <c r="M5" s="47" t="s">
        <v>163</v>
      </c>
    </row>
    <row r="6" spans="1:13" ht="26.25" thickBot="1">
      <c r="A6" s="41" t="s">
        <v>128</v>
      </c>
      <c r="B6" s="42" t="str">
        <f t="shared" si="0"/>
        <v>122_0005</v>
      </c>
      <c r="C6" s="7" t="s">
        <v>168</v>
      </c>
      <c r="D6" s="51" t="s">
        <v>99</v>
      </c>
      <c r="E6" s="51" t="s">
        <v>82</v>
      </c>
      <c r="F6" s="68" t="s">
        <v>52</v>
      </c>
      <c r="G6" s="51" t="s">
        <v>164</v>
      </c>
      <c r="H6" s="82" t="s">
        <v>225</v>
      </c>
      <c r="I6" s="47" t="s">
        <v>31</v>
      </c>
      <c r="J6" s="47"/>
      <c r="K6" s="47"/>
      <c r="L6" s="60" t="s">
        <v>69</v>
      </c>
      <c r="M6" s="47" t="s">
        <v>165</v>
      </c>
    </row>
    <row r="7" spans="1:13" ht="39" thickBot="1">
      <c r="A7" s="41" t="s">
        <v>129</v>
      </c>
      <c r="B7" s="42" t="str">
        <f t="shared" si="0"/>
        <v>122_0006</v>
      </c>
      <c r="C7" s="6" t="s">
        <v>189</v>
      </c>
      <c r="D7" s="51" t="s">
        <v>190</v>
      </c>
      <c r="E7" s="51" t="s">
        <v>297</v>
      </c>
      <c r="F7" s="69" t="s">
        <v>111</v>
      </c>
      <c r="G7" s="51" t="s">
        <v>25</v>
      </c>
      <c r="H7" s="81">
        <v>12.5</v>
      </c>
      <c r="I7" s="47" t="s">
        <v>31</v>
      </c>
      <c r="J7" s="47" t="s">
        <v>26</v>
      </c>
      <c r="K7" s="47"/>
      <c r="L7" s="60" t="s">
        <v>70</v>
      </c>
      <c r="M7" s="47" t="s">
        <v>191</v>
      </c>
    </row>
    <row r="8" spans="1:13" ht="39" thickBot="1">
      <c r="A8" s="41" t="s">
        <v>130</v>
      </c>
      <c r="B8" s="42" t="str">
        <f t="shared" si="0"/>
        <v>122_0007</v>
      </c>
      <c r="C8" s="6" t="s">
        <v>189</v>
      </c>
      <c r="D8" s="51" t="s">
        <v>192</v>
      </c>
      <c r="E8" s="51" t="s">
        <v>298</v>
      </c>
      <c r="F8" s="70" t="s">
        <v>112</v>
      </c>
      <c r="G8" s="51" t="s">
        <v>68</v>
      </c>
      <c r="H8" s="82" t="s">
        <v>162</v>
      </c>
      <c r="I8" s="47" t="s">
        <v>31</v>
      </c>
      <c r="J8" s="47" t="s">
        <v>26</v>
      </c>
      <c r="K8" s="47"/>
      <c r="L8" s="60" t="s">
        <v>70</v>
      </c>
      <c r="M8" s="47" t="s">
        <v>195</v>
      </c>
    </row>
    <row r="9" spans="1:13" ht="39" thickBot="1">
      <c r="A9" s="41" t="s">
        <v>131</v>
      </c>
      <c r="B9" s="42" t="str">
        <f t="shared" si="0"/>
        <v>122_0008</v>
      </c>
      <c r="C9" s="6" t="s">
        <v>168</v>
      </c>
      <c r="D9" s="51" t="s">
        <v>193</v>
      </c>
      <c r="E9" s="51" t="s">
        <v>83</v>
      </c>
      <c r="F9" s="48" t="s">
        <v>113</v>
      </c>
      <c r="G9" s="51" t="s">
        <v>166</v>
      </c>
      <c r="H9" s="82"/>
      <c r="I9" s="47" t="s">
        <v>31</v>
      </c>
      <c r="J9" s="46" t="s">
        <v>26</v>
      </c>
      <c r="K9" s="47"/>
      <c r="L9" s="60" t="s">
        <v>70</v>
      </c>
      <c r="M9" s="47" t="s">
        <v>194</v>
      </c>
    </row>
    <row r="10" spans="1:13" ht="39" thickBot="1">
      <c r="A10" s="41" t="s">
        <v>132</v>
      </c>
      <c r="B10" s="42" t="str">
        <f t="shared" si="0"/>
        <v>122_0009</v>
      </c>
      <c r="C10" s="7" t="s">
        <v>168</v>
      </c>
      <c r="D10" s="51" t="s">
        <v>49</v>
      </c>
      <c r="E10" s="51" t="s">
        <v>84</v>
      </c>
      <c r="F10" s="48" t="s">
        <v>53</v>
      </c>
      <c r="G10" s="51" t="s">
        <v>166</v>
      </c>
      <c r="H10" s="82"/>
      <c r="I10" s="47" t="s">
        <v>31</v>
      </c>
      <c r="J10" s="46"/>
      <c r="K10" s="47"/>
      <c r="L10" s="60" t="s">
        <v>70</v>
      </c>
      <c r="M10" s="47" t="s">
        <v>308</v>
      </c>
    </row>
    <row r="11" spans="1:13" ht="39" thickBot="1">
      <c r="A11" s="41" t="s">
        <v>133</v>
      </c>
      <c r="B11" s="42" t="str">
        <f t="shared" si="0"/>
        <v>122_0010</v>
      </c>
      <c r="C11" s="6" t="s">
        <v>168</v>
      </c>
      <c r="D11" s="51" t="s">
        <v>36</v>
      </c>
      <c r="E11" s="51" t="s">
        <v>196</v>
      </c>
      <c r="F11" s="48" t="s">
        <v>54</v>
      </c>
      <c r="G11" s="51" t="s">
        <v>25</v>
      </c>
      <c r="H11" s="82">
        <v>3</v>
      </c>
      <c r="I11" s="47" t="s">
        <v>31</v>
      </c>
      <c r="J11" s="46"/>
      <c r="K11" s="46"/>
      <c r="L11" s="60" t="s">
        <v>70</v>
      </c>
      <c r="M11" s="47"/>
    </row>
    <row r="12" spans="1:13" ht="39" thickBot="1">
      <c r="A12" s="41" t="s">
        <v>134</v>
      </c>
      <c r="B12" s="42" t="str">
        <f t="shared" si="0"/>
        <v>122_0011</v>
      </c>
      <c r="C12" s="6" t="s">
        <v>168</v>
      </c>
      <c r="D12" s="51" t="s">
        <v>37</v>
      </c>
      <c r="E12" s="51" t="s">
        <v>197</v>
      </c>
      <c r="F12" s="48" t="s">
        <v>55</v>
      </c>
      <c r="G12" s="51" t="s">
        <v>25</v>
      </c>
      <c r="H12" s="82">
        <v>3</v>
      </c>
      <c r="I12" s="47" t="s">
        <v>31</v>
      </c>
      <c r="J12" s="46"/>
      <c r="K12" s="46"/>
      <c r="L12" s="60" t="s">
        <v>70</v>
      </c>
      <c r="M12" s="47"/>
    </row>
    <row r="13" spans="1:13" ht="26.25" thickBot="1">
      <c r="A13" s="41" t="s">
        <v>135</v>
      </c>
      <c r="B13" s="42" t="str">
        <f t="shared" si="0"/>
        <v>122_0012</v>
      </c>
      <c r="C13" s="6" t="s">
        <v>185</v>
      </c>
      <c r="D13" s="51" t="s">
        <v>226</v>
      </c>
      <c r="E13" s="66" t="s">
        <v>167</v>
      </c>
      <c r="F13" s="48" t="s">
        <v>227</v>
      </c>
      <c r="G13" s="51" t="s">
        <v>25</v>
      </c>
      <c r="H13" s="81" t="s">
        <v>253</v>
      </c>
      <c r="I13" s="47" t="s">
        <v>31</v>
      </c>
      <c r="J13" s="46"/>
      <c r="K13" s="46"/>
      <c r="L13" s="60" t="s">
        <v>70</v>
      </c>
      <c r="M13" s="47" t="s">
        <v>170</v>
      </c>
    </row>
    <row r="14" spans="1:13" ht="26.25" thickBot="1">
      <c r="A14" s="41" t="s">
        <v>136</v>
      </c>
      <c r="B14" s="42" t="str">
        <f t="shared" si="0"/>
        <v>122_0013</v>
      </c>
      <c r="C14" s="7" t="s">
        <v>189</v>
      </c>
      <c r="D14" s="51" t="s">
        <v>38</v>
      </c>
      <c r="E14" s="49" t="s">
        <v>169</v>
      </c>
      <c r="F14" s="48" t="s">
        <v>56</v>
      </c>
      <c r="G14" s="60" t="s">
        <v>164</v>
      </c>
      <c r="H14" s="83" t="s">
        <v>254</v>
      </c>
      <c r="I14" s="47" t="s">
        <v>31</v>
      </c>
      <c r="J14" s="46"/>
      <c r="K14" s="46"/>
      <c r="L14" s="60" t="s">
        <v>69</v>
      </c>
      <c r="M14" s="47" t="s">
        <v>163</v>
      </c>
    </row>
    <row r="15" spans="1:13" ht="26.25" thickBot="1">
      <c r="A15" s="41" t="s">
        <v>137</v>
      </c>
      <c r="B15" s="42" t="str">
        <f t="shared" si="0"/>
        <v>122_0014</v>
      </c>
      <c r="C15" s="6" t="s">
        <v>168</v>
      </c>
      <c r="D15" s="51" t="s">
        <v>228</v>
      </c>
      <c r="E15" s="51" t="s">
        <v>229</v>
      </c>
      <c r="F15" s="48" t="s">
        <v>230</v>
      </c>
      <c r="G15" s="51" t="s">
        <v>25</v>
      </c>
      <c r="H15" s="81">
        <v>12.9</v>
      </c>
      <c r="I15" s="47" t="s">
        <v>31</v>
      </c>
      <c r="J15" s="46"/>
      <c r="K15" s="46"/>
      <c r="L15" s="60" t="s">
        <v>69</v>
      </c>
      <c r="M15" s="47" t="s">
        <v>163</v>
      </c>
    </row>
    <row r="16" spans="1:13" ht="13.5" thickBot="1">
      <c r="A16" s="41" t="s">
        <v>138</v>
      </c>
      <c r="B16" s="42" t="str">
        <f t="shared" si="0"/>
        <v>122_0015</v>
      </c>
      <c r="C16" s="7" t="s">
        <v>168</v>
      </c>
      <c r="D16" s="51" t="s">
        <v>39</v>
      </c>
      <c r="E16" s="51" t="s">
        <v>33</v>
      </c>
      <c r="F16" s="48" t="s">
        <v>57</v>
      </c>
      <c r="G16" s="66" t="s">
        <v>25</v>
      </c>
      <c r="H16" s="81" t="s">
        <v>311</v>
      </c>
      <c r="I16" s="47" t="s">
        <v>31</v>
      </c>
      <c r="J16" s="46"/>
      <c r="K16" s="46"/>
      <c r="L16" s="60" t="s">
        <v>70</v>
      </c>
      <c r="M16" s="47" t="s">
        <v>163</v>
      </c>
    </row>
    <row r="17" spans="1:13" ht="39" thickBot="1">
      <c r="A17" s="41" t="s">
        <v>139</v>
      </c>
      <c r="B17" s="42" t="str">
        <f t="shared" si="0"/>
        <v>122_0016</v>
      </c>
      <c r="C17" s="71" t="s">
        <v>168</v>
      </c>
      <c r="D17" s="72" t="s">
        <v>100</v>
      </c>
      <c r="E17" s="51" t="s">
        <v>85</v>
      </c>
      <c r="F17" s="48" t="s">
        <v>114</v>
      </c>
      <c r="G17" s="58" t="s">
        <v>68</v>
      </c>
      <c r="H17" s="83" t="s">
        <v>255</v>
      </c>
      <c r="I17" s="47" t="s">
        <v>31</v>
      </c>
      <c r="J17" s="46"/>
      <c r="K17" s="46"/>
      <c r="L17" s="60" t="s">
        <v>70</v>
      </c>
      <c r="M17" s="47" t="s">
        <v>231</v>
      </c>
    </row>
    <row r="18" spans="1:13" ht="26.25" thickBot="1">
      <c r="A18" s="41" t="s">
        <v>140</v>
      </c>
      <c r="B18" s="42" t="str">
        <f t="shared" si="0"/>
        <v>122_0017</v>
      </c>
      <c r="C18" s="6" t="s">
        <v>168</v>
      </c>
      <c r="D18" s="73" t="s">
        <v>40</v>
      </c>
      <c r="E18" s="51" t="s">
        <v>299</v>
      </c>
      <c r="F18" s="50" t="s">
        <v>58</v>
      </c>
      <c r="G18" s="59" t="s">
        <v>25</v>
      </c>
      <c r="H18" s="85" t="s">
        <v>256</v>
      </c>
      <c r="I18" s="46" t="s">
        <v>31</v>
      </c>
      <c r="J18" s="46" t="s">
        <v>26</v>
      </c>
      <c r="K18" s="47"/>
      <c r="L18" s="60" t="s">
        <v>70</v>
      </c>
      <c r="M18" s="47" t="s">
        <v>171</v>
      </c>
    </row>
    <row r="19" spans="1:13" ht="39" thickBot="1">
      <c r="A19" s="41" t="s">
        <v>141</v>
      </c>
      <c r="B19" s="42" t="str">
        <f t="shared" si="0"/>
        <v>122_0018</v>
      </c>
      <c r="C19" s="6" t="s">
        <v>168</v>
      </c>
      <c r="D19" s="73" t="s">
        <v>101</v>
      </c>
      <c r="E19" s="51" t="s">
        <v>300</v>
      </c>
      <c r="F19" s="50" t="s">
        <v>59</v>
      </c>
      <c r="G19" s="60" t="s">
        <v>68</v>
      </c>
      <c r="H19" s="85" t="s">
        <v>257</v>
      </c>
      <c r="I19" s="46" t="s">
        <v>31</v>
      </c>
      <c r="J19" s="46"/>
      <c r="K19" s="47"/>
      <c r="L19" s="60" t="s">
        <v>70</v>
      </c>
      <c r="M19" s="47"/>
    </row>
    <row r="20" spans="1:13" ht="51.75" thickBot="1">
      <c r="A20" s="41" t="s">
        <v>142</v>
      </c>
      <c r="B20" s="42" t="str">
        <f t="shared" si="0"/>
        <v>122_0019</v>
      </c>
      <c r="C20" s="6" t="s">
        <v>168</v>
      </c>
      <c r="D20" s="66" t="s">
        <v>102</v>
      </c>
      <c r="E20" s="51" t="s">
        <v>235</v>
      </c>
      <c r="F20" s="50" t="s">
        <v>60</v>
      </c>
      <c r="G20" s="51" t="s">
        <v>68</v>
      </c>
      <c r="H20" s="84" t="s">
        <v>258</v>
      </c>
      <c r="I20" s="46" t="s">
        <v>31</v>
      </c>
      <c r="J20" s="46"/>
      <c r="K20" s="47"/>
      <c r="L20" s="60" t="s">
        <v>70</v>
      </c>
      <c r="M20" s="47"/>
    </row>
    <row r="21" spans="1:13" ht="26.25" thickBot="1">
      <c r="A21" s="41" t="s">
        <v>143</v>
      </c>
      <c r="B21" s="42" t="str">
        <f t="shared" si="0"/>
        <v>122_0020</v>
      </c>
      <c r="C21" s="6" t="s">
        <v>185</v>
      </c>
      <c r="D21" s="66" t="s">
        <v>103</v>
      </c>
      <c r="E21" s="51" t="s">
        <v>86</v>
      </c>
      <c r="F21" s="50" t="s">
        <v>115</v>
      </c>
      <c r="G21" s="51" t="s">
        <v>25</v>
      </c>
      <c r="H21" s="81">
        <v>13.1</v>
      </c>
      <c r="I21" s="46" t="s">
        <v>31</v>
      </c>
      <c r="J21" s="46"/>
      <c r="K21" s="46"/>
      <c r="L21" s="60" t="s">
        <v>70</v>
      </c>
      <c r="M21" s="47"/>
    </row>
    <row r="22" spans="1:13" ht="26.25" thickBot="1">
      <c r="A22" s="41" t="s">
        <v>144</v>
      </c>
      <c r="B22" s="42" t="str">
        <f t="shared" si="0"/>
        <v>122_0021</v>
      </c>
      <c r="C22" s="6" t="s">
        <v>185</v>
      </c>
      <c r="D22" s="74" t="s">
        <v>104</v>
      </c>
      <c r="E22" s="74" t="s">
        <v>87</v>
      </c>
      <c r="F22" s="75" t="s">
        <v>116</v>
      </c>
      <c r="G22" s="74" t="s">
        <v>25</v>
      </c>
      <c r="H22" s="81">
        <v>13.1</v>
      </c>
      <c r="I22" s="46" t="s">
        <v>31</v>
      </c>
      <c r="J22" s="46"/>
      <c r="K22" s="46"/>
      <c r="L22" s="60" t="s">
        <v>70</v>
      </c>
      <c r="M22" s="47"/>
    </row>
    <row r="23" spans="1:13" ht="39" thickBot="1">
      <c r="A23" s="41" t="s">
        <v>145</v>
      </c>
      <c r="B23" s="42" t="str">
        <f t="shared" si="0"/>
        <v>122_0022</v>
      </c>
      <c r="C23" s="53" t="s">
        <v>185</v>
      </c>
      <c r="D23" s="54" t="s">
        <v>232</v>
      </c>
      <c r="E23" s="54" t="s">
        <v>301</v>
      </c>
      <c r="F23" s="54" t="s">
        <v>61</v>
      </c>
      <c r="G23" s="55" t="s">
        <v>25</v>
      </c>
      <c r="H23" s="81">
        <v>14.1</v>
      </c>
      <c r="I23" s="46" t="s">
        <v>31</v>
      </c>
      <c r="J23" s="46" t="s">
        <v>26</v>
      </c>
      <c r="K23" s="46"/>
      <c r="L23" s="60" t="s">
        <v>70</v>
      </c>
      <c r="M23" s="47" t="s">
        <v>233</v>
      </c>
    </row>
    <row r="24" spans="1:13" ht="26.25" thickBot="1">
      <c r="A24" s="41" t="s">
        <v>146</v>
      </c>
      <c r="B24" s="42" t="str">
        <f t="shared" si="0"/>
        <v>122_0023</v>
      </c>
      <c r="C24" s="6" t="s">
        <v>189</v>
      </c>
      <c r="D24" s="51" t="s">
        <v>105</v>
      </c>
      <c r="E24" s="51" t="s">
        <v>88</v>
      </c>
      <c r="F24" s="76" t="s">
        <v>62</v>
      </c>
      <c r="G24" s="60" t="s">
        <v>164</v>
      </c>
      <c r="H24" s="83" t="s">
        <v>259</v>
      </c>
      <c r="I24" s="46" t="s">
        <v>31</v>
      </c>
      <c r="J24" s="46"/>
      <c r="K24" s="46"/>
      <c r="L24" s="60" t="s">
        <v>70</v>
      </c>
      <c r="M24" s="47" t="s">
        <v>173</v>
      </c>
    </row>
    <row r="25" spans="1:13" ht="26.25" thickBot="1">
      <c r="A25" s="41" t="s">
        <v>147</v>
      </c>
      <c r="B25" s="42" t="str">
        <f t="shared" si="0"/>
        <v>122_0024</v>
      </c>
      <c r="C25" s="6" t="s">
        <v>189</v>
      </c>
      <c r="D25" s="51" t="s">
        <v>302</v>
      </c>
      <c r="E25" s="51" t="s">
        <v>303</v>
      </c>
      <c r="F25" s="50" t="s">
        <v>63</v>
      </c>
      <c r="G25" s="59" t="s">
        <v>68</v>
      </c>
      <c r="H25" s="85" t="s">
        <v>255</v>
      </c>
      <c r="I25" s="46" t="s">
        <v>31</v>
      </c>
      <c r="J25" s="46"/>
      <c r="K25" s="46"/>
      <c r="L25" s="60" t="s">
        <v>70</v>
      </c>
      <c r="M25" s="47"/>
    </row>
    <row r="26" spans="1:13" ht="26.25" thickBot="1">
      <c r="A26" s="41" t="s">
        <v>148</v>
      </c>
      <c r="B26" s="42" t="str">
        <f t="shared" si="0"/>
        <v>122_0025</v>
      </c>
      <c r="C26" s="6" t="s">
        <v>189</v>
      </c>
      <c r="D26" s="51" t="s">
        <v>106</v>
      </c>
      <c r="E26" s="51" t="s">
        <v>89</v>
      </c>
      <c r="F26" s="50" t="s">
        <v>117</v>
      </c>
      <c r="G26" s="60" t="s">
        <v>164</v>
      </c>
      <c r="H26" s="83" t="s">
        <v>312</v>
      </c>
      <c r="I26" s="46" t="s">
        <v>31</v>
      </c>
      <c r="J26" s="46"/>
      <c r="K26" s="46"/>
      <c r="L26" s="77" t="s">
        <v>70</v>
      </c>
      <c r="M26" s="47"/>
    </row>
    <row r="27" spans="1:13" ht="26.25" thickBot="1">
      <c r="A27" s="41" t="s">
        <v>149</v>
      </c>
      <c r="B27" s="42" t="str">
        <f t="shared" si="0"/>
        <v>122_0026</v>
      </c>
      <c r="C27" s="6" t="s">
        <v>189</v>
      </c>
      <c r="D27" s="51" t="s">
        <v>41</v>
      </c>
      <c r="E27" s="51" t="s">
        <v>34</v>
      </c>
      <c r="F27" s="50" t="s">
        <v>64</v>
      </c>
      <c r="G27" s="51" t="s">
        <v>166</v>
      </c>
      <c r="H27" s="84"/>
      <c r="I27" s="46" t="s">
        <v>31</v>
      </c>
      <c r="J27" s="46"/>
      <c r="K27" s="46"/>
      <c r="L27" s="77" t="s">
        <v>70</v>
      </c>
      <c r="M27" s="47"/>
    </row>
    <row r="28" spans="1:13" ht="26.25" thickBot="1">
      <c r="A28" s="41" t="s">
        <v>150</v>
      </c>
      <c r="B28" s="42" t="str">
        <f t="shared" si="0"/>
        <v>122_0027</v>
      </c>
      <c r="C28" s="6" t="s">
        <v>189</v>
      </c>
      <c r="D28" s="51" t="s">
        <v>42</v>
      </c>
      <c r="E28" s="51" t="s">
        <v>90</v>
      </c>
      <c r="F28" s="50" t="s">
        <v>66</v>
      </c>
      <c r="G28" s="51" t="s">
        <v>68</v>
      </c>
      <c r="H28" s="82" t="s">
        <v>174</v>
      </c>
      <c r="I28" s="46" t="s">
        <v>31</v>
      </c>
      <c r="J28" s="46"/>
      <c r="K28" s="46"/>
      <c r="L28" s="77" t="s">
        <v>70</v>
      </c>
      <c r="M28" s="47" t="s">
        <v>309</v>
      </c>
    </row>
    <row r="29" spans="1:13" ht="39" thickBot="1">
      <c r="A29" s="41" t="s">
        <v>151</v>
      </c>
      <c r="B29" s="42" t="str">
        <f t="shared" si="0"/>
        <v>122_0028</v>
      </c>
      <c r="C29" s="6" t="s">
        <v>189</v>
      </c>
      <c r="D29" s="51" t="s">
        <v>43</v>
      </c>
      <c r="E29" s="51" t="s">
        <v>91</v>
      </c>
      <c r="F29" s="50" t="s">
        <v>67</v>
      </c>
      <c r="G29" s="51" t="s">
        <v>68</v>
      </c>
      <c r="H29" s="84" t="s">
        <v>260</v>
      </c>
      <c r="I29" s="46" t="s">
        <v>31</v>
      </c>
      <c r="J29" s="46"/>
      <c r="K29" s="46"/>
      <c r="L29" s="77" t="s">
        <v>70</v>
      </c>
      <c r="M29" s="47" t="s">
        <v>310</v>
      </c>
    </row>
    <row r="30" spans="1:13" ht="51.75" thickBot="1">
      <c r="A30" s="41" t="s">
        <v>152</v>
      </c>
      <c r="B30" s="42" t="str">
        <f t="shared" si="0"/>
        <v>122_0029</v>
      </c>
      <c r="C30" s="6" t="s">
        <v>168</v>
      </c>
      <c r="D30" s="51" t="s">
        <v>107</v>
      </c>
      <c r="E30" s="51" t="s">
        <v>92</v>
      </c>
      <c r="F30" s="50" t="s">
        <v>118</v>
      </c>
      <c r="G30" s="51" t="s">
        <v>68</v>
      </c>
      <c r="H30" s="84" t="s">
        <v>261</v>
      </c>
      <c r="I30" s="46" t="s">
        <v>31</v>
      </c>
      <c r="J30" s="46"/>
      <c r="K30" s="46"/>
      <c r="L30" s="77" t="s">
        <v>70</v>
      </c>
      <c r="M30" s="47" t="s">
        <v>262</v>
      </c>
    </row>
    <row r="31" spans="1:13" ht="26.25" thickBot="1">
      <c r="A31" s="41" t="s">
        <v>153</v>
      </c>
      <c r="B31" s="42" t="str">
        <f t="shared" si="0"/>
        <v>122_0030</v>
      </c>
      <c r="C31" s="6" t="s">
        <v>168</v>
      </c>
      <c r="D31" s="51" t="s">
        <v>44</v>
      </c>
      <c r="E31" s="51" t="s">
        <v>93</v>
      </c>
      <c r="F31" s="50" t="s">
        <v>65</v>
      </c>
      <c r="G31" s="51" t="s">
        <v>68</v>
      </c>
      <c r="H31" s="82" t="s">
        <v>179</v>
      </c>
      <c r="I31" s="46" t="s">
        <v>31</v>
      </c>
      <c r="J31" s="46"/>
      <c r="K31" s="47"/>
      <c r="L31" s="77" t="s">
        <v>70</v>
      </c>
      <c r="M31" s="47"/>
    </row>
    <row r="32" spans="1:13" ht="39" thickBot="1">
      <c r="A32" s="41" t="s">
        <v>154</v>
      </c>
      <c r="B32" s="42" t="str">
        <f t="shared" si="0"/>
        <v>122_0031</v>
      </c>
      <c r="C32" s="6" t="s">
        <v>189</v>
      </c>
      <c r="D32" s="51" t="s">
        <v>108</v>
      </c>
      <c r="E32" s="51" t="s">
        <v>94</v>
      </c>
      <c r="F32" s="50" t="s">
        <v>119</v>
      </c>
      <c r="G32" s="51" t="s">
        <v>68</v>
      </c>
      <c r="H32" s="84" t="s">
        <v>263</v>
      </c>
      <c r="I32" s="46" t="s">
        <v>31</v>
      </c>
      <c r="J32" s="46"/>
      <c r="K32" s="46"/>
      <c r="L32" s="77" t="s">
        <v>70</v>
      </c>
      <c r="M32" s="47"/>
    </row>
    <row r="33" spans="1:13" ht="26.25" thickBot="1">
      <c r="A33" s="41" t="s">
        <v>155</v>
      </c>
      <c r="B33" s="42" t="str">
        <f t="shared" si="0"/>
        <v>122_0032</v>
      </c>
      <c r="C33" s="6" t="s">
        <v>189</v>
      </c>
      <c r="D33" s="51" t="s">
        <v>45</v>
      </c>
      <c r="E33" s="51" t="s">
        <v>95</v>
      </c>
      <c r="F33" s="50" t="s">
        <v>120</v>
      </c>
      <c r="G33" s="51" t="s">
        <v>68</v>
      </c>
      <c r="H33" s="82" t="s">
        <v>264</v>
      </c>
      <c r="I33" s="46" t="s">
        <v>31</v>
      </c>
      <c r="J33" s="46"/>
      <c r="K33" s="46"/>
      <c r="L33" s="77" t="s">
        <v>70</v>
      </c>
      <c r="M33" s="47"/>
    </row>
    <row r="34" spans="1:13" ht="26.25" thickBot="1">
      <c r="A34" s="41" t="s">
        <v>156</v>
      </c>
      <c r="B34" s="42" t="str">
        <f t="shared" si="0"/>
        <v>122_0033</v>
      </c>
      <c r="C34" s="6" t="s">
        <v>189</v>
      </c>
      <c r="D34" s="51" t="s">
        <v>46</v>
      </c>
      <c r="E34" s="51" t="s">
        <v>96</v>
      </c>
      <c r="F34" s="50" t="s">
        <v>121</v>
      </c>
      <c r="G34" s="51" t="s">
        <v>68</v>
      </c>
      <c r="H34" s="84">
        <v>10.6</v>
      </c>
      <c r="I34" s="46" t="s">
        <v>31</v>
      </c>
      <c r="J34" s="46"/>
      <c r="K34" s="46"/>
      <c r="L34" s="77" t="s">
        <v>70</v>
      </c>
      <c r="M34" s="47"/>
    </row>
    <row r="35" spans="1:13" ht="26.25" thickBot="1">
      <c r="A35" s="41" t="s">
        <v>157</v>
      </c>
      <c r="B35" s="42" t="str">
        <f t="shared" si="0"/>
        <v>122_0034</v>
      </c>
      <c r="C35" s="6" t="s">
        <v>189</v>
      </c>
      <c r="D35" s="51" t="s">
        <v>47</v>
      </c>
      <c r="E35" s="51" t="s">
        <v>97</v>
      </c>
      <c r="F35" s="50" t="s">
        <v>122</v>
      </c>
      <c r="G35" s="51" t="s">
        <v>164</v>
      </c>
      <c r="H35" s="84" t="s">
        <v>313</v>
      </c>
      <c r="I35" s="46" t="s">
        <v>31</v>
      </c>
      <c r="J35" s="46"/>
      <c r="K35" s="46"/>
      <c r="L35" s="77" t="s">
        <v>70</v>
      </c>
      <c r="M35" s="47"/>
    </row>
    <row r="36" spans="1:13" ht="39" thickBot="1">
      <c r="A36" s="41" t="s">
        <v>158</v>
      </c>
      <c r="B36" s="42" t="str">
        <f t="shared" si="0"/>
        <v>122_0035</v>
      </c>
      <c r="C36" s="6" t="s">
        <v>189</v>
      </c>
      <c r="D36" s="51" t="s">
        <v>48</v>
      </c>
      <c r="E36" s="51" t="s">
        <v>98</v>
      </c>
      <c r="F36" s="50" t="s">
        <v>123</v>
      </c>
      <c r="G36" s="51" t="s">
        <v>68</v>
      </c>
      <c r="H36" s="84" t="s">
        <v>175</v>
      </c>
      <c r="I36" s="46" t="s">
        <v>31</v>
      </c>
      <c r="J36" s="46"/>
      <c r="K36" s="46"/>
      <c r="L36" s="77" t="s">
        <v>69</v>
      </c>
      <c r="M36" s="47"/>
    </row>
    <row r="37" spans="1:13" ht="64.5" thickBot="1">
      <c r="A37" s="41" t="s">
        <v>159</v>
      </c>
      <c r="B37" s="42" t="str">
        <f t="shared" si="0"/>
        <v>122_0036</v>
      </c>
      <c r="C37" s="6" t="s">
        <v>168</v>
      </c>
      <c r="D37" s="66" t="s">
        <v>109</v>
      </c>
      <c r="E37" s="66" t="s">
        <v>176</v>
      </c>
      <c r="F37" s="50" t="s">
        <v>177</v>
      </c>
      <c r="G37" s="51" t="s">
        <v>25</v>
      </c>
      <c r="H37" s="84">
        <v>12.11</v>
      </c>
      <c r="I37" s="46" t="s">
        <v>31</v>
      </c>
      <c r="J37" s="46" t="s">
        <v>26</v>
      </c>
      <c r="K37" s="47"/>
      <c r="L37" s="77" t="s">
        <v>161</v>
      </c>
      <c r="M37" s="47" t="s">
        <v>178</v>
      </c>
    </row>
    <row r="38" spans="1:13" ht="39" thickBot="1">
      <c r="A38" s="41" t="s">
        <v>160</v>
      </c>
      <c r="B38" s="42" t="str">
        <f t="shared" si="0"/>
        <v>122_0037</v>
      </c>
      <c r="C38" s="6" t="s">
        <v>185</v>
      </c>
      <c r="D38" s="51" t="s">
        <v>182</v>
      </c>
      <c r="E38" s="51" t="s">
        <v>304</v>
      </c>
      <c r="F38" s="50" t="s">
        <v>305</v>
      </c>
      <c r="G38" s="51" t="s">
        <v>25</v>
      </c>
      <c r="H38" s="82">
        <v>7.5</v>
      </c>
      <c r="I38" s="46" t="s">
        <v>31</v>
      </c>
      <c r="J38" s="46" t="s">
        <v>26</v>
      </c>
      <c r="K38" s="47"/>
      <c r="L38" s="77" t="s">
        <v>161</v>
      </c>
      <c r="M38" s="47" t="s">
        <v>183</v>
      </c>
    </row>
    <row r="39" spans="1:13" ht="26.25" thickBot="1">
      <c r="A39" s="41" t="str">
        <f>_xlfn.CONCAT("122_ED2_",TEXT(ROW()-ROW(A$39)+1,"000"))</f>
        <v>122_ED2_001</v>
      </c>
      <c r="B39" s="42" t="str">
        <f t="shared" si="0"/>
        <v>122_0038</v>
      </c>
      <c r="C39" s="6" t="s">
        <v>168</v>
      </c>
      <c r="D39" s="51" t="s">
        <v>184</v>
      </c>
      <c r="E39" s="51" t="s">
        <v>188</v>
      </c>
      <c r="F39" s="50" t="s">
        <v>186</v>
      </c>
      <c r="G39" s="51" t="s">
        <v>25</v>
      </c>
      <c r="H39" s="82">
        <v>7.3</v>
      </c>
      <c r="I39" s="46" t="s">
        <v>26</v>
      </c>
      <c r="J39" s="46"/>
      <c r="K39" s="47"/>
      <c r="L39" s="77" t="s">
        <v>187</v>
      </c>
      <c r="M39" s="47"/>
    </row>
    <row r="40" spans="1:13" ht="51.75" thickBot="1">
      <c r="A40" s="41" t="str">
        <f>_xlfn.CONCAT("122_ED2_",TEXT(ROW()-ROW(A$39)+1,"000"))</f>
        <v>122_ED2_002</v>
      </c>
      <c r="B40" s="42" t="str">
        <f t="shared" si="0"/>
        <v>122_0039</v>
      </c>
      <c r="C40" s="6" t="s">
        <v>189</v>
      </c>
      <c r="D40" s="51" t="s">
        <v>198</v>
      </c>
      <c r="E40" s="51" t="s">
        <v>199</v>
      </c>
      <c r="F40" s="48" t="s">
        <v>200</v>
      </c>
      <c r="G40" s="51" t="s">
        <v>68</v>
      </c>
      <c r="H40" s="82" t="s">
        <v>314</v>
      </c>
      <c r="I40" s="47" t="s">
        <v>26</v>
      </c>
      <c r="J40" s="46"/>
      <c r="K40" s="46"/>
      <c r="L40" s="60" t="s">
        <v>187</v>
      </c>
      <c r="M40" s="47"/>
    </row>
    <row r="41" spans="1:13" ht="26.25" thickBot="1">
      <c r="A41" s="41" t="str">
        <f t="shared" ref="A41:A61" si="1">_xlfn.CONCAT("122_ED2_",TEXT(ROW()-ROW(A$39)+1,"000"))</f>
        <v>122_ED2_003</v>
      </c>
      <c r="B41" s="42" t="str">
        <f t="shared" si="0"/>
        <v>122_0040</v>
      </c>
      <c r="C41" s="6" t="s">
        <v>189</v>
      </c>
      <c r="D41" s="51" t="s">
        <v>201</v>
      </c>
      <c r="E41" s="51" t="s">
        <v>202</v>
      </c>
      <c r="F41" s="48" t="s">
        <v>203</v>
      </c>
      <c r="G41" s="51" t="s">
        <v>68</v>
      </c>
      <c r="H41" s="82" t="s">
        <v>315</v>
      </c>
      <c r="I41" s="47" t="s">
        <v>26</v>
      </c>
      <c r="J41" s="46"/>
      <c r="K41" s="46"/>
      <c r="L41" s="60" t="s">
        <v>187</v>
      </c>
      <c r="M41" s="47"/>
    </row>
    <row r="42" spans="1:13" ht="39" thickBot="1">
      <c r="A42" s="41" t="str">
        <f t="shared" si="1"/>
        <v>122_ED2_004</v>
      </c>
      <c r="B42" s="42" t="str">
        <f t="shared" ref="B42:B61" si="2">_xlfn.CONCAT("122_", TEXT(ROW()-1, "0000"))</f>
        <v>122_0041</v>
      </c>
      <c r="C42" s="6" t="s">
        <v>189</v>
      </c>
      <c r="D42" s="51" t="s">
        <v>204</v>
      </c>
      <c r="E42" s="51" t="s">
        <v>205</v>
      </c>
      <c r="F42" s="48" t="s">
        <v>206</v>
      </c>
      <c r="G42" s="51" t="s">
        <v>68</v>
      </c>
      <c r="H42" s="82" t="s">
        <v>315</v>
      </c>
      <c r="I42" s="47" t="s">
        <v>26</v>
      </c>
      <c r="J42" s="46"/>
      <c r="K42" s="46"/>
      <c r="L42" s="60" t="s">
        <v>187</v>
      </c>
      <c r="M42" s="47"/>
    </row>
    <row r="43" spans="1:13" ht="51.75" thickBot="1">
      <c r="A43" s="41" t="str">
        <f t="shared" si="1"/>
        <v>122_ED2_005</v>
      </c>
      <c r="B43" s="42" t="str">
        <f t="shared" si="2"/>
        <v>122_0042</v>
      </c>
      <c r="C43" s="6" t="s">
        <v>168</v>
      </c>
      <c r="D43" s="51" t="s">
        <v>207</v>
      </c>
      <c r="E43" s="51" t="s">
        <v>306</v>
      </c>
      <c r="F43" s="48" t="s">
        <v>208</v>
      </c>
      <c r="G43" s="51" t="s">
        <v>166</v>
      </c>
      <c r="H43" s="82"/>
      <c r="I43" s="47" t="s">
        <v>26</v>
      </c>
      <c r="J43" s="46"/>
      <c r="K43" s="46"/>
      <c r="L43" s="60" t="s">
        <v>70</v>
      </c>
      <c r="M43" s="47"/>
    </row>
    <row r="44" spans="1:13" ht="39" thickBot="1">
      <c r="A44" s="41" t="str">
        <f t="shared" si="1"/>
        <v>122_ED2_006</v>
      </c>
      <c r="B44" s="42" t="str">
        <f t="shared" si="2"/>
        <v>122_0043</v>
      </c>
      <c r="C44" s="6" t="s">
        <v>168</v>
      </c>
      <c r="D44" s="51" t="s">
        <v>209</v>
      </c>
      <c r="E44" s="51" t="s">
        <v>210</v>
      </c>
      <c r="F44" s="48" t="s">
        <v>211</v>
      </c>
      <c r="G44" s="51" t="s">
        <v>68</v>
      </c>
      <c r="H44" s="82" t="s">
        <v>212</v>
      </c>
      <c r="I44" s="47" t="s">
        <v>26</v>
      </c>
      <c r="J44" s="46"/>
      <c r="K44" s="46"/>
      <c r="L44" s="60" t="s">
        <v>70</v>
      </c>
      <c r="M44" s="47"/>
    </row>
    <row r="45" spans="1:13" ht="26.25" thickBot="1">
      <c r="A45" s="41" t="str">
        <f t="shared" si="1"/>
        <v>122_ED2_007</v>
      </c>
      <c r="B45" s="42" t="str">
        <f t="shared" si="2"/>
        <v>122_0044</v>
      </c>
      <c r="C45" s="6" t="s">
        <v>168</v>
      </c>
      <c r="D45" s="52" t="s">
        <v>213</v>
      </c>
      <c r="E45" s="51" t="s">
        <v>214</v>
      </c>
      <c r="F45" s="48" t="s">
        <v>215</v>
      </c>
      <c r="G45" s="51" t="s">
        <v>68</v>
      </c>
      <c r="H45" s="82" t="s">
        <v>265</v>
      </c>
      <c r="I45" s="47" t="s">
        <v>31</v>
      </c>
      <c r="J45" s="46"/>
      <c r="K45" s="46"/>
      <c r="L45" s="60" t="s">
        <v>70</v>
      </c>
      <c r="M45" s="47"/>
    </row>
    <row r="46" spans="1:13" ht="26.25" thickBot="1">
      <c r="A46" s="41" t="str">
        <f t="shared" si="1"/>
        <v>122_ED2_008</v>
      </c>
      <c r="B46" s="42" t="str">
        <f t="shared" si="2"/>
        <v>122_0045</v>
      </c>
      <c r="C46" s="6" t="s">
        <v>168</v>
      </c>
      <c r="D46" s="51" t="s">
        <v>216</v>
      </c>
      <c r="E46" s="51" t="s">
        <v>217</v>
      </c>
      <c r="F46" s="50" t="s">
        <v>218</v>
      </c>
      <c r="G46" s="51" t="s">
        <v>68</v>
      </c>
      <c r="H46" s="82" t="s">
        <v>316</v>
      </c>
      <c r="I46" s="46" t="s">
        <v>31</v>
      </c>
      <c r="J46" s="46"/>
      <c r="K46" s="46"/>
      <c r="L46" s="77" t="s">
        <v>70</v>
      </c>
      <c r="M46" s="47"/>
    </row>
    <row r="47" spans="1:13" ht="39" thickBot="1">
      <c r="A47" s="41" t="str">
        <f t="shared" si="1"/>
        <v>122_ED2_009</v>
      </c>
      <c r="B47" s="42" t="str">
        <f t="shared" si="2"/>
        <v>122_0046</v>
      </c>
      <c r="C47" s="6" t="s">
        <v>168</v>
      </c>
      <c r="D47" s="51" t="s">
        <v>219</v>
      </c>
      <c r="E47" s="51" t="s">
        <v>220</v>
      </c>
      <c r="F47" s="50" t="s">
        <v>218</v>
      </c>
      <c r="G47" s="51" t="s">
        <v>68</v>
      </c>
      <c r="H47" s="82">
        <v>12.1</v>
      </c>
      <c r="I47" s="46" t="s">
        <v>31</v>
      </c>
      <c r="J47" s="46"/>
      <c r="K47" s="46"/>
      <c r="L47" s="77" t="s">
        <v>70</v>
      </c>
      <c r="M47" s="47"/>
    </row>
    <row r="48" spans="1:13" ht="51.75" thickBot="1">
      <c r="A48" s="41" t="str">
        <f t="shared" si="1"/>
        <v>122_ED2_010</v>
      </c>
      <c r="B48" s="42" t="str">
        <f t="shared" si="2"/>
        <v>122_0047</v>
      </c>
      <c r="C48" s="6" t="s">
        <v>168</v>
      </c>
      <c r="D48" s="51" t="s">
        <v>221</v>
      </c>
      <c r="E48" s="51" t="s">
        <v>307</v>
      </c>
      <c r="F48" s="50" t="s">
        <v>222</v>
      </c>
      <c r="G48" s="51" t="s">
        <v>68</v>
      </c>
      <c r="H48" s="82" t="s">
        <v>223</v>
      </c>
      <c r="I48" s="46" t="s">
        <v>31</v>
      </c>
      <c r="J48" s="46" t="s">
        <v>26</v>
      </c>
      <c r="K48" s="46"/>
      <c r="L48" s="77" t="s">
        <v>70</v>
      </c>
      <c r="M48" s="47" t="s">
        <v>224</v>
      </c>
    </row>
    <row r="49" spans="1:13" ht="39" thickBot="1">
      <c r="A49" s="41" t="str">
        <f t="shared" si="1"/>
        <v>122_ED2_011</v>
      </c>
      <c r="B49" s="42" t="str">
        <f t="shared" si="2"/>
        <v>122_0048</v>
      </c>
      <c r="C49" s="6" t="s">
        <v>185</v>
      </c>
      <c r="D49" s="66" t="s">
        <v>180</v>
      </c>
      <c r="E49" s="51" t="s">
        <v>172</v>
      </c>
      <c r="F49" s="50" t="s">
        <v>181</v>
      </c>
      <c r="G49" s="51" t="s">
        <v>25</v>
      </c>
      <c r="H49" s="81">
        <v>13.1</v>
      </c>
      <c r="I49" s="46"/>
      <c r="J49" s="46"/>
      <c r="K49" s="46"/>
      <c r="L49" s="77"/>
      <c r="M49" s="47"/>
    </row>
    <row r="50" spans="1:13" ht="39" thickBot="1">
      <c r="A50" s="41" t="str">
        <f t="shared" si="1"/>
        <v>122_ED2_012</v>
      </c>
      <c r="B50" s="42" t="str">
        <f t="shared" si="2"/>
        <v>122_0049</v>
      </c>
      <c r="C50" s="56" t="s">
        <v>168</v>
      </c>
      <c r="D50" s="47" t="s">
        <v>236</v>
      </c>
      <c r="E50" s="47" t="s">
        <v>237</v>
      </c>
      <c r="F50" s="47" t="s">
        <v>238</v>
      </c>
      <c r="G50" s="57" t="s">
        <v>25</v>
      </c>
      <c r="H50" s="85" t="s">
        <v>239</v>
      </c>
      <c r="I50" s="46" t="s">
        <v>26</v>
      </c>
      <c r="J50" s="46"/>
      <c r="K50" s="46"/>
      <c r="L50" s="47" t="s">
        <v>70</v>
      </c>
      <c r="M50" s="47"/>
    </row>
    <row r="51" spans="1:13" ht="26.25" thickBot="1">
      <c r="A51" s="41" t="str">
        <f t="shared" si="1"/>
        <v>122_ED2_013</v>
      </c>
      <c r="B51" s="42" t="str">
        <f t="shared" si="2"/>
        <v>122_0050</v>
      </c>
      <c r="C51" s="56" t="s">
        <v>189</v>
      </c>
      <c r="D51" s="47" t="s">
        <v>240</v>
      </c>
      <c r="E51" s="47" t="s">
        <v>241</v>
      </c>
      <c r="F51" s="47" t="s">
        <v>242</v>
      </c>
      <c r="G51" s="57" t="s">
        <v>25</v>
      </c>
      <c r="H51" s="85">
        <v>7.3</v>
      </c>
      <c r="I51" s="46" t="s">
        <v>26</v>
      </c>
      <c r="J51" s="46"/>
      <c r="K51" s="46"/>
      <c r="L51" s="47" t="s">
        <v>161</v>
      </c>
      <c r="M51" s="47"/>
    </row>
    <row r="52" spans="1:13" ht="26.25" thickBot="1">
      <c r="A52" s="41" t="str">
        <f t="shared" si="1"/>
        <v>122_ED2_014</v>
      </c>
      <c r="B52" s="42" t="str">
        <f t="shared" si="2"/>
        <v>122_0051</v>
      </c>
      <c r="C52" s="56" t="s">
        <v>189</v>
      </c>
      <c r="D52" s="47" t="s">
        <v>266</v>
      </c>
      <c r="E52" s="47" t="s">
        <v>243</v>
      </c>
      <c r="F52" s="47" t="s">
        <v>244</v>
      </c>
      <c r="G52" s="57" t="s">
        <v>68</v>
      </c>
      <c r="H52" s="85" t="s">
        <v>212</v>
      </c>
      <c r="I52" s="46" t="s">
        <v>26</v>
      </c>
      <c r="J52" s="46"/>
      <c r="K52" s="46"/>
      <c r="L52" s="47" t="s">
        <v>245</v>
      </c>
      <c r="M52" s="47"/>
    </row>
    <row r="53" spans="1:13" ht="26.25" thickBot="1">
      <c r="A53" s="41" t="str">
        <f t="shared" si="1"/>
        <v>122_ED2_015</v>
      </c>
      <c r="B53" s="42" t="str">
        <f t="shared" si="2"/>
        <v>122_0052</v>
      </c>
      <c r="C53" s="56" t="s">
        <v>168</v>
      </c>
      <c r="D53" s="47" t="s">
        <v>246</v>
      </c>
      <c r="E53" s="47" t="s">
        <v>247</v>
      </c>
      <c r="F53" s="47" t="s">
        <v>248</v>
      </c>
      <c r="G53" s="57" t="s">
        <v>68</v>
      </c>
      <c r="H53" s="85" t="s">
        <v>212</v>
      </c>
      <c r="I53" s="46" t="s">
        <v>26</v>
      </c>
      <c r="J53" s="46"/>
      <c r="K53" s="46"/>
      <c r="L53" s="47" t="s">
        <v>245</v>
      </c>
      <c r="M53" s="47"/>
    </row>
    <row r="54" spans="1:13" ht="39" thickBot="1">
      <c r="A54" s="41" t="str">
        <f t="shared" si="1"/>
        <v>122_ED2_016</v>
      </c>
      <c r="B54" s="42" t="str">
        <f t="shared" si="2"/>
        <v>122_0053</v>
      </c>
      <c r="C54" s="56" t="s">
        <v>168</v>
      </c>
      <c r="D54" s="47" t="s">
        <v>249</v>
      </c>
      <c r="E54" s="47" t="s">
        <v>250</v>
      </c>
      <c r="F54" s="47" t="s">
        <v>251</v>
      </c>
      <c r="G54" s="57" t="s">
        <v>166</v>
      </c>
      <c r="H54" s="85"/>
      <c r="I54" s="46" t="s">
        <v>26</v>
      </c>
      <c r="J54" s="46"/>
      <c r="K54" s="46"/>
      <c r="L54" s="47" t="s">
        <v>252</v>
      </c>
      <c r="M54" s="47"/>
    </row>
    <row r="55" spans="1:13" ht="39" thickBot="1">
      <c r="A55" s="41" t="str">
        <f t="shared" si="1"/>
        <v>122_ED2_017</v>
      </c>
      <c r="B55" s="42" t="str">
        <f t="shared" si="2"/>
        <v>122_0054</v>
      </c>
      <c r="C55" s="56" t="s">
        <v>168</v>
      </c>
      <c r="D55" s="47" t="s">
        <v>267</v>
      </c>
      <c r="E55" s="47" t="s">
        <v>268</v>
      </c>
      <c r="F55" s="47" t="s">
        <v>269</v>
      </c>
      <c r="G55" s="57" t="s">
        <v>68</v>
      </c>
      <c r="H55" s="85" t="s">
        <v>270</v>
      </c>
      <c r="I55" s="46" t="s">
        <v>26</v>
      </c>
      <c r="J55" s="46"/>
      <c r="K55" s="46"/>
      <c r="L55" s="47" t="s">
        <v>245</v>
      </c>
      <c r="M55" s="47"/>
    </row>
    <row r="56" spans="1:13" ht="26.25" thickBot="1">
      <c r="A56" s="41" t="str">
        <f t="shared" si="1"/>
        <v>122_ED2_018</v>
      </c>
      <c r="B56" s="42" t="str">
        <f t="shared" si="2"/>
        <v>122_0055</v>
      </c>
      <c r="C56" s="6" t="s">
        <v>168</v>
      </c>
      <c r="D56" s="4" t="s">
        <v>272</v>
      </c>
      <c r="E56" s="72" t="s">
        <v>271</v>
      </c>
      <c r="F56" s="50" t="s">
        <v>273</v>
      </c>
      <c r="G56" s="51" t="s">
        <v>68</v>
      </c>
      <c r="H56" s="84" t="s">
        <v>274</v>
      </c>
      <c r="I56" s="46" t="s">
        <v>26</v>
      </c>
      <c r="J56" s="46"/>
      <c r="K56" s="46"/>
      <c r="L56" s="77" t="s">
        <v>245</v>
      </c>
      <c r="M56" s="47"/>
    </row>
    <row r="57" spans="1:13" ht="26.25" thickBot="1">
      <c r="A57" s="41" t="str">
        <f t="shared" si="1"/>
        <v>122_ED2_019</v>
      </c>
      <c r="B57" s="42" t="str">
        <f t="shared" si="2"/>
        <v>122_0056</v>
      </c>
      <c r="C57" s="6" t="s">
        <v>189</v>
      </c>
      <c r="D57" s="72" t="s">
        <v>275</v>
      </c>
      <c r="E57" s="51" t="s">
        <v>317</v>
      </c>
      <c r="F57" s="50" t="s">
        <v>276</v>
      </c>
      <c r="G57" s="51" t="s">
        <v>68</v>
      </c>
      <c r="H57" s="84">
        <v>2.4</v>
      </c>
      <c r="I57" s="46" t="s">
        <v>26</v>
      </c>
      <c r="J57" s="46"/>
      <c r="K57" s="46"/>
      <c r="L57" s="77" t="s">
        <v>245</v>
      </c>
      <c r="M57" s="47"/>
    </row>
    <row r="58" spans="1:13" ht="39" thickBot="1">
      <c r="A58" s="41" t="str">
        <f t="shared" si="1"/>
        <v>122_ED2_020</v>
      </c>
      <c r="B58" s="42" t="str">
        <f t="shared" si="2"/>
        <v>122_0057</v>
      </c>
      <c r="C58" s="6" t="s">
        <v>189</v>
      </c>
      <c r="D58" s="47" t="s">
        <v>277</v>
      </c>
      <c r="E58" s="54" t="s">
        <v>278</v>
      </c>
      <c r="F58" s="47" t="s">
        <v>279</v>
      </c>
      <c r="G58" s="59" t="s">
        <v>68</v>
      </c>
      <c r="H58" s="85" t="s">
        <v>280</v>
      </c>
      <c r="I58" s="46" t="s">
        <v>26</v>
      </c>
      <c r="J58" s="46"/>
      <c r="K58" s="46"/>
      <c r="L58" s="47" t="s">
        <v>245</v>
      </c>
      <c r="M58" s="47"/>
    </row>
    <row r="59" spans="1:13" ht="39" thickBot="1">
      <c r="A59" s="41" t="str">
        <f t="shared" si="1"/>
        <v>122_ED2_021</v>
      </c>
      <c r="B59" s="42" t="str">
        <f t="shared" si="2"/>
        <v>122_0058</v>
      </c>
      <c r="C59" s="6" t="s">
        <v>168</v>
      </c>
      <c r="D59" s="47" t="s">
        <v>281</v>
      </c>
      <c r="E59" s="54" t="s">
        <v>282</v>
      </c>
      <c r="F59" s="47" t="s">
        <v>283</v>
      </c>
      <c r="G59" s="59" t="s">
        <v>68</v>
      </c>
      <c r="H59" s="85" t="s">
        <v>284</v>
      </c>
      <c r="I59" s="46" t="s">
        <v>26</v>
      </c>
      <c r="J59" s="46"/>
      <c r="K59" s="46"/>
      <c r="L59" s="47" t="s">
        <v>245</v>
      </c>
      <c r="M59" s="47"/>
    </row>
    <row r="60" spans="1:13" ht="26.25" thickBot="1">
      <c r="A60" s="41" t="str">
        <f t="shared" si="1"/>
        <v>122_ED2_022</v>
      </c>
      <c r="B60" s="42" t="str">
        <f t="shared" si="2"/>
        <v>122_0059</v>
      </c>
      <c r="C60" s="56" t="s">
        <v>189</v>
      </c>
      <c r="D60" s="47" t="s">
        <v>286</v>
      </c>
      <c r="E60" s="47" t="s">
        <v>287</v>
      </c>
      <c r="F60" s="47" t="s">
        <v>288</v>
      </c>
      <c r="G60" s="57" t="s">
        <v>166</v>
      </c>
      <c r="H60" s="85"/>
      <c r="I60" s="46" t="s">
        <v>26</v>
      </c>
      <c r="J60" s="46"/>
      <c r="K60" s="46"/>
      <c r="L60" s="47" t="s">
        <v>289</v>
      </c>
      <c r="M60" s="47"/>
    </row>
    <row r="61" spans="1:13" ht="26.25" thickBot="1">
      <c r="A61" s="41" t="str">
        <f t="shared" si="1"/>
        <v>122_ED2_023</v>
      </c>
      <c r="B61" s="42" t="str">
        <f t="shared" si="2"/>
        <v>122_0060</v>
      </c>
      <c r="C61" s="56" t="s">
        <v>168</v>
      </c>
      <c r="D61" s="47" t="s">
        <v>290</v>
      </c>
      <c r="E61" s="47" t="s">
        <v>291</v>
      </c>
      <c r="F61" s="47" t="s">
        <v>292</v>
      </c>
      <c r="G61" s="57" t="s">
        <v>166</v>
      </c>
      <c r="H61" s="85"/>
      <c r="I61" s="46" t="s">
        <v>26</v>
      </c>
      <c r="J61" s="46"/>
      <c r="K61" s="46"/>
      <c r="L61" s="47" t="s">
        <v>245</v>
      </c>
      <c r="M61" s="47"/>
    </row>
    <row r="62" spans="1:13">
      <c r="A62" s="41"/>
      <c r="B62" s="42"/>
      <c r="C62" s="6"/>
      <c r="F62" s="78"/>
    </row>
    <row r="63" spans="1:13">
      <c r="A63" s="41"/>
      <c r="B63" s="42"/>
      <c r="C63" s="6"/>
      <c r="F63" s="78"/>
    </row>
  </sheetData>
  <autoFilter ref="K1:K63" xr:uid="{00000000-0001-0000-0100-000000000000}"/>
  <dataValidations count="1">
    <dataValidation type="list" allowBlank="1" showInputMessage="1" showErrorMessage="1" sqref="C2:C63" xr:uid="{1FB138CC-14EF-4406-9E7B-EC5039F9ECE1}">
      <formula1>"C,E,W"</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S122ValidationChecks metadata</vt:lpstr>
      <vt:lpstr>S122Checks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2026-03-27T05:21:33Z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