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E:\work\git\S-122-Product-Specification-Development\S158_122\1.0.0\"/>
    </mc:Choice>
  </mc:AlternateContent>
  <xr:revisionPtr revIDLastSave="0" documentId="13_ncr:1_{D4E2C27F-D1E2-4DC6-A07C-7A7813690FBB}" xr6:coauthVersionLast="47" xr6:coauthVersionMax="47" xr10:uidLastSave="{00000000-0000-0000-0000-000000000000}"/>
  <bookViews>
    <workbookView xWindow="-120" yWindow="-120" windowWidth="28110" windowHeight="18240" tabRatio="647" activeTab="1" xr2:uid="{00000000-000D-0000-FFFF-FFFF00000000}"/>
  </bookViews>
  <sheets>
    <sheet name="S122ValidationChecks metadata" sheetId="11" r:id="rId1"/>
    <sheet name="S122Checks" sheetId="10" r:id="rId2"/>
    <sheet name="DeletedS122Checks" sheetId="12" r:id="rId3"/>
  </sheets>
  <externalReferences>
    <externalReference r:id="rId4"/>
  </externalReferences>
  <definedNames>
    <definedName name="_xlnm._FilterDatabase" localSheetId="2" hidden="1">DeletedS122Checks!$A$1:$K$31</definedName>
    <definedName name="_xlnm._FilterDatabase" localSheetId="1" hidden="1">S122Checks!$K$1:$K$89</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 i="10" l="1"/>
  <c r="A87" i="10"/>
  <c r="B86" i="10"/>
  <c r="A86" i="10"/>
  <c r="B85" i="10"/>
  <c r="A85" i="10"/>
  <c r="B84" i="10"/>
  <c r="A84" i="10"/>
  <c r="B83" i="10"/>
  <c r="A83" i="10"/>
  <c r="B82" i="10"/>
  <c r="A82" i="10"/>
  <c r="B81" i="10"/>
  <c r="A81" i="10"/>
  <c r="B80" i="10"/>
  <c r="A80" i="10"/>
  <c r="B79" i="10"/>
  <c r="A79" i="10"/>
  <c r="B78" i="10"/>
  <c r="A78" i="10"/>
  <c r="B77" i="10"/>
  <c r="A77" i="10"/>
  <c r="B76" i="10"/>
  <c r="A76" i="10"/>
  <c r="B75" i="10"/>
  <c r="A75" i="10"/>
  <c r="B74" i="10"/>
  <c r="A74" i="10"/>
  <c r="B73" i="10"/>
  <c r="A73" i="10"/>
  <c r="B72" i="10"/>
  <c r="A72" i="10"/>
  <c r="B71" i="10"/>
  <c r="A71" i="10"/>
  <c r="B70" i="10"/>
  <c r="A70" i="10"/>
  <c r="B69" i="10"/>
  <c r="A69" i="10"/>
  <c r="B68" i="10"/>
  <c r="A68" i="10"/>
  <c r="B67" i="10"/>
  <c r="A67" i="10"/>
  <c r="B66" i="10"/>
  <c r="A66" i="10"/>
  <c r="B65" i="10"/>
  <c r="B64" i="10"/>
  <c r="A65" i="10"/>
  <c r="A64" i="10"/>
  <c r="B3" i="10"/>
  <c r="B6" i="10"/>
  <c r="B9" i="10"/>
  <c r="B10" i="10"/>
  <c r="B2" i="10"/>
  <c r="B4" i="10"/>
  <c r="B5" i="10"/>
  <c r="B7" i="10"/>
  <c r="B8"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A2" i="12" a="1"/>
  <c r="A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<sst xmlns="http://schemas.openxmlformats.org/spreadsheetml/2006/main" count="834" uniqueCount="440">
  <si>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</si>
  <si>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</si>
  <si>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</si>
  <si>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</si>
  <si>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</si>
  <si>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</si>
  <si>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</si>
  <si>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</si>
  <si>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</si>
  <si>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</si>
  <si>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</si>
  <si>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</si>
  <si>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</si>
  <si>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</si>
  <si>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</si>
  <si>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</si>
  <si>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</si>
  <si>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</si>
  <si>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</si>
  <si>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</si>
  <si>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</si>
  <si>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</si>
  <si>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</si>
  <si>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</si>
  <si>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</si>
  <si>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</si>
  <si>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</si>
  <si>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</si>
  <si>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</si>
  <si>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</si>
  <si>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</si>
  <si>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</si>
  <si>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For each feature object with an attribute of type Float or Integer where the value contains zeroes before the first numerical digit or after the last numerical digit.</t>
  </si>
  <si>
    <t>For each association that is not defined in the feature catalogue.</t>
  </si>
  <si>
    <t>For each role name that is not defined in the feature catalogue.</t>
  </si>
  <si>
    <t>For each role name ensure it is only used with permitted associations.</t>
  </si>
  <si>
    <t>If the order of the data in a dataset is not correct.</t>
  </si>
  <si>
    <t>For each attribute instance where the total number of instances exceed the permitted number of instances</t>
  </si>
  <si>
    <t>For each fixedDateRange where dateEnd or dateStart is not Null but the year component is not specified.</t>
  </si>
  <si>
    <t xml:space="preserve">Objects fall outside the coverage object. </t>
  </si>
  <si>
    <t>Unknown association is used.</t>
  </si>
  <si>
    <t>Unknown role name is used.</t>
  </si>
  <si>
    <t>Role name is used on an illegal association.</t>
  </si>
  <si>
    <t>Name is encoded in national language only.</t>
  </si>
  <si>
    <t>Text is encoded in national language only</t>
  </si>
  <si>
    <t>Object outside area of coverage.</t>
  </si>
  <si>
    <t>Object has invalid feature class code.</t>
  </si>
  <si>
    <t>Incorrect data order.</t>
  </si>
  <si>
    <t>Too many instances of attribute.</t>
  </si>
  <si>
    <t>Vertex density exceeds the allowable tolerance.</t>
  </si>
  <si>
    <t>Year is required in fixedDateRange dates.</t>
  </si>
  <si>
    <t>TextContent is not populated with meaningful information.</t>
  </si>
  <si>
    <t>Information is not populated with meaningful information.</t>
  </si>
  <si>
    <t>Contact address is not populated with meaningful information.</t>
  </si>
  <si>
    <t>Applicability is not populated with meaningful information.</t>
  </si>
  <si>
    <t>NonStandardWorkingDay not populated with meaningful information.</t>
  </si>
  <si>
    <t>ContactDetails not populated with meaningful information.</t>
  </si>
  <si>
    <t>Associated feature or information type not present.</t>
  </si>
  <si>
    <t>Values for file reference and locator combinations are identical.</t>
  </si>
  <si>
    <t>Frequency pair frequency attributes are not populated with meaningful information.</t>
  </si>
  <si>
    <t>Ensure objects are not outside of the limits of the cell.</t>
  </si>
  <si>
    <t>Populate mandatory attributes (If unknown encode attribute with empty value).</t>
  </si>
  <si>
    <t xml:space="preserve">Remove non-significant zeroes. </t>
  </si>
  <si>
    <t>Remove duplicate value from geo object.</t>
  </si>
  <si>
    <t>Use association that is defined in the feature catalogue.</t>
  </si>
  <si>
    <t>Use role name that is defined in the feature catalogue.</t>
  </si>
  <si>
    <t>Ensure correct association is used between classes.</t>
  </si>
  <si>
    <t>Ensure correct role names are used on the association.</t>
  </si>
  <si>
    <t>Ensure that national language attributes are populated with the correct values.</t>
  </si>
  <si>
    <t>Populate text attribute with English text.</t>
  </si>
  <si>
    <t>Populate name attribute with English text.</t>
  </si>
  <si>
    <t>Remove object or amend coverage.</t>
  </si>
  <si>
    <t>Amend object class code.</t>
  </si>
  <si>
    <t>Remove attribute.</t>
  </si>
  <si>
    <t>Amend data order.</t>
  </si>
  <si>
    <t>Ensure correct attribute encoding.</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</si>
  <si>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</si>
  <si>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</si>
  <si>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</si>
  <si>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</si>
  <si>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</si>
  <si>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</si>
  <si>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</si>
  <si>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Populate at least one sub-attribute of contactAddress.</t>
  </si>
  <si>
    <t>Populate information or onlineResource.</t>
  </si>
  <si>
    <t>Populate fileReference or text attribute.</t>
  </si>
  <si>
    <t>DCEG</t>
  </si>
  <si>
    <t>B, S</t>
  </si>
  <si>
    <t>B, U</t>
  </si>
  <si>
    <t>B, U, S</t>
  </si>
  <si>
    <t>Apply To</t>
  </si>
  <si>
    <t>Remarks</t>
  </si>
  <si>
    <t>S-158:122</t>
  </si>
  <si>
    <t>MARINE PROTECTED AREAS VALIDATION CHECKS</t>
  </si>
  <si>
    <t>S-122 PS</t>
  </si>
  <si>
    <t>S-122 DCEG</t>
  </si>
  <si>
    <t>S-122 FC</t>
  </si>
  <si>
    <t>Metadata of S-122 Validation Check Specification</t>
  </si>
  <si>
    <t>For each feature object where its geometry is not COVERED_BY a DataCoverage</t>
  </si>
  <si>
    <t>If either QualityOfNonbathymetricData or DataCoverage meta objects do not exist within the data set.</t>
  </si>
  <si>
    <t>If any mandatory attributes are not Present.</t>
  </si>
  <si>
    <t>For each feature object with an attribute value identical to a corresponding attribute of a meta object it is COVERED_BY.</t>
  </si>
  <si>
    <t>For each association between features instances, features instances and information instances, and between information instances that is not defined in the feature catalogue</t>
  </si>
  <si>
    <t>For each role name on associations that is not defined in the feature catalogue</t>
  </si>
  <si>
    <t>For each association ensure associated classes are only those permitted by the feature catalogue.</t>
  </si>
  <si>
    <t>For each feature instance where textContent attribute is present, and two or more information subAttributes are present, and the text subattributes are equal</t>
  </si>
  <si>
    <t>For each feature instance where textContent attribute is present, and two or more information subAttributes are present, and the fileLocator  subattributes are equal</t>
  </si>
  <si>
    <t xml:space="preserve">If the file names in an exchange set are not in accordance with the Product Specification. </t>
  </si>
  <si>
    <t>For each feature instance, which does not have a valid feature class label/code as defined by the feature catalogue.</t>
  </si>
  <si>
    <t>For each attribute, which does not have a valid attribute label/code as defined by the feature catalogue.</t>
  </si>
  <si>
    <t>For each feature object, which contains attributes outside the list of permissible attributes for the feature class (as defined in the feature catalogue).</t>
  </si>
  <si>
    <t>For each feature instance where periodicDateRange subattributes dateEnd and dateStart are notNull AND their values are identical.</t>
  </si>
  <si>
    <t>For each feature instance where periodicDateRange subattribute is notNull AND dateStart is Null OR not Present.</t>
  </si>
  <si>
    <t>For each instance of a file referenced in the data, and it not present in the exchange set</t>
  </si>
  <si>
    <t>For each instance of a dataset, present in the exchange set and that does not have dataset discovery metadata.</t>
  </si>
  <si>
    <t>For each instance of a support file, present in the exchange set and that does not have support file discovery metadata.</t>
  </si>
  <si>
    <t>For each feature instance, which CROSS the 180° meridian.</t>
  </si>
  <si>
    <t>For each dataset discovery metadata file that does not correspond to the dataset discovery metadata content table.</t>
  </si>
  <si>
    <t>For each support file discovery metadata file, does not correspond to the support file discovery metadata content table.</t>
  </si>
  <si>
    <t>For each catalogue file discovery metadata file, does not correspond to the catalogue file discovery metadata content table.</t>
  </si>
  <si>
    <t>For each fixedDateRange where both dateEnd and dateStart are omitted or Null</t>
  </si>
  <si>
    <t>For each textContent attribute where both information and onlineResource are missing or null.</t>
  </si>
  <si>
    <t>For each information attribute where both fileReference and text subattributes are missing or null</t>
  </si>
  <si>
    <t>For each sourceIndication where the sub-attributes are missing or null</t>
  </si>
  <si>
    <t>For each contactAddress with all sub-attributes either omitted or null</t>
  </si>
  <si>
    <t>For each frequencyPair with frequencyShoreStationTransmits or frequencyShoreStationReceives both sub-attributes either omitted or null</t>
  </si>
  <si>
    <t>For each Regulations, Restrictions, Recommendations, NauticalInformation with both graphic and textContent missing or null</t>
  </si>
  <si>
    <t>For each Applicability without at least one of its attributes populated</t>
  </si>
  <si>
    <t>For each NonStandardWorkingDay with all of dateFixed, dateVariable, and information missing or null</t>
  </si>
  <si>
    <t>For each ContactDetails without at least one non-Null attribute</t>
  </si>
  <si>
    <t>For each association where the target is not in the dataset</t>
  </si>
  <si>
    <t>For each update dataset, a base dataset of the same dataset name is not either present on the system, in the same exchange set, or in another exchange set in the collection of exchange sets.</t>
  </si>
  <si>
    <t>For each update dataset with updateNumber N &gt; 1, the base dataset is present and updates 1 to N-1 are not present on the system, in the exchange set, or in another exchange set on the system.</t>
  </si>
  <si>
    <t>For each cancellation (termination) of a dataset that does not exist on the system or has already been cancelled</t>
  </si>
  <si>
    <t>The cell is larger than 20Mb in size.</t>
  </si>
  <si>
    <t>Mandatory attributes are not encoded</t>
  </si>
  <si>
    <t>An attribute value of a meta object is duplicated on a geo object.</t>
  </si>
  <si>
    <t xml:space="preserve">Wrong association used </t>
  </si>
  <si>
    <t>Wrong role used</t>
  </si>
  <si>
    <t>Class is associated in an illegal association.</t>
  </si>
  <si>
    <t>Dataset does not conform to the GML schema</t>
  </si>
  <si>
    <t>File names are not in accordance with the Product Specification.</t>
  </si>
  <si>
    <t>Attribute has invalid attribute label/code.</t>
  </si>
  <si>
    <t>Attribute not permitted on feature class.</t>
  </si>
  <si>
    <t>Object has identical values of periodicDateRange subattributes dateEnd and dateStart.</t>
  </si>
  <si>
    <t>Object has dateEnd without a value of dateStart.</t>
  </si>
  <si>
    <t>Time intervals within the same scheduleByDoW attribute overlap</t>
  </si>
  <si>
    <t>Schedule overlaps</t>
  </si>
  <si>
    <t>File referenced in the dataset is not present in the exchange set</t>
  </si>
  <si>
    <t>Dataset discovery metadata is missing for dataset</t>
  </si>
  <si>
    <t>Support file discovery metadata is missing for support file.</t>
  </si>
  <si>
    <t>Data crossing the 180° meridian</t>
  </si>
  <si>
    <t>Dataset discovery metadata file that does not correspond to the dataset discovery metadata content table.</t>
  </si>
  <si>
    <t>Support file discovery metadata file, does not correspond to the support file discovery metadata content table.</t>
  </si>
  <si>
    <t>Catalogue file discovery metadata file, does not correspond to the catalogue file discovery metadata content table.</t>
  </si>
  <si>
    <t>FixedDateRange not Populated making the attribute meaningless.</t>
  </si>
  <si>
    <t>SourceIndication is not populated with meaningful information.</t>
  </si>
  <si>
    <t>Regulations, Restrictions, Recommendations, NauticalInformation not populated</t>
  </si>
  <si>
    <t>The update is larger than 500 KB in size.</t>
  </si>
  <si>
    <t>Base dataset not present</t>
  </si>
  <si>
    <t>Preceding updates not present</t>
  </si>
  <si>
    <t>Empty update</t>
  </si>
  <si>
    <t>Terminated dataset is not present</t>
  </si>
  <si>
    <t>Include mandatory meta feature objects QualityOfNonbathymetricData or DataCoverage</t>
  </si>
  <si>
    <t>Use correct association type</t>
  </si>
  <si>
    <t>Use correct role name</t>
  </si>
  <si>
    <t>Ensure conformance to the GML schema</t>
  </si>
  <si>
    <t xml:space="preserve">Change character encoding to UTF-8 </t>
  </si>
  <si>
    <t>Ensure that name subattributes are populated with the correct values.</t>
  </si>
  <si>
    <t>Ensure that text subattributes are populated with the correct values.</t>
  </si>
  <si>
    <t>Amend file names.</t>
  </si>
  <si>
    <t>Amend attribute label/code.</t>
  </si>
  <si>
    <t>Ensure values of periodicDateRange subattributes dateEnd and dateStart are logical.</t>
  </si>
  <si>
    <t>Populate dateStart or remove dateEnd.</t>
  </si>
  <si>
    <t>Add dataset discovery metadata</t>
  </si>
  <si>
    <t>Support file discovery metadata</t>
  </si>
  <si>
    <t>Ensure correct encoding of the discovery metadata file</t>
  </si>
  <si>
    <t>Ensure correct encoding of the support file metadata file</t>
  </si>
  <si>
    <t>Ensure correct encoding of the catalogue metadata file.</t>
  </si>
  <si>
    <t>Populate at least one of dateEnd or dateStart</t>
  </si>
  <si>
    <t>Populate source indication</t>
  </si>
  <si>
    <t>Populate at least one of frequencyShoreStationTransmits or frequencyShoreSationReceives</t>
  </si>
  <si>
    <t>Populate at least one of graphic or textInformation</t>
  </si>
  <si>
    <t>Populate at least one attribute of Applicability</t>
  </si>
  <si>
    <t>Populate at least one of dateFixed, dateVariable, and information</t>
  </si>
  <si>
    <t>Populate at least one attribute of ContactDetails</t>
  </si>
  <si>
    <t>Correct or remove the association, or add the missing feature or information type.</t>
  </si>
  <si>
    <t>Verify that the absence base dataset is not an error.</t>
  </si>
  <si>
    <t xml:space="preserve">Obtain and install preceding updates. </t>
  </si>
  <si>
    <t>Ignore the update</t>
  </si>
  <si>
    <t>122_ED1_100</t>
  </si>
  <si>
    <t>122_ED1_101</t>
  </si>
  <si>
    <t>122_ED1_102</t>
  </si>
  <si>
    <t>122_ED1_103</t>
  </si>
  <si>
    <t>122_ED1_104</t>
  </si>
  <si>
    <t>122_ED1_105</t>
  </si>
  <si>
    <t>122_ED1_106</t>
  </si>
  <si>
    <t>122_ED1_107</t>
  </si>
  <si>
    <t>122_ED1_108</t>
  </si>
  <si>
    <t>122_ED1_109</t>
  </si>
  <si>
    <t>122_ED1_110</t>
  </si>
  <si>
    <t>122_ED1_111</t>
  </si>
  <si>
    <t>122_ED1_112</t>
  </si>
  <si>
    <t>122_ED1_113</t>
  </si>
  <si>
    <t>122_ED1_114</t>
  </si>
  <si>
    <t>122_ED1_115</t>
  </si>
  <si>
    <t>122_ED1_116</t>
  </si>
  <si>
    <t>122_ED1_117</t>
  </si>
  <si>
    <t>122_ED1_118</t>
  </si>
  <si>
    <t>122_ED1_119</t>
  </si>
  <si>
    <t>122_ED1_120</t>
  </si>
  <si>
    <t>122_ED1_121</t>
  </si>
  <si>
    <t>122_ED1_122 </t>
  </si>
  <si>
    <t>122_ED1_123 </t>
  </si>
  <si>
    <t>122_ED1_124 </t>
  </si>
  <si>
    <t>122_ED1_125</t>
  </si>
  <si>
    <t>122_ED1_126</t>
  </si>
  <si>
    <t>122_ED1_127</t>
  </si>
  <si>
    <t>122_ED1_128</t>
  </si>
  <si>
    <t>122_ED1_129</t>
  </si>
  <si>
    <t>122_ED1_130</t>
  </si>
  <si>
    <t>122_ED1_131</t>
  </si>
  <si>
    <t>122_ED1_132</t>
  </si>
  <si>
    <t>122_ED1_133</t>
  </si>
  <si>
    <t>122_ED1_134</t>
  </si>
  <si>
    <t>122_ED1_135</t>
  </si>
  <si>
    <t>122_ED1_136</t>
  </si>
  <si>
    <t>122_ED1_137</t>
  </si>
  <si>
    <t>122_ED1_138</t>
  </si>
  <si>
    <t>122_ED1_139</t>
  </si>
  <si>
    <t>122_ED1_140</t>
  </si>
  <si>
    <t>122_ED1_142</t>
  </si>
  <si>
    <t>122_ED1_143</t>
  </si>
  <si>
    <t>122_ED1_144</t>
  </si>
  <si>
    <t>122_ED1_145</t>
  </si>
  <si>
    <t>122_ED1_146</t>
  </si>
  <si>
    <t>122_ED1_147</t>
  </si>
  <si>
    <t>122_ED1_148</t>
  </si>
  <si>
    <t>122_ED1_149</t>
  </si>
  <si>
    <t>122_ED1_150</t>
  </si>
  <si>
    <t>122_ED1_151</t>
  </si>
  <si>
    <t>122_ED1_152</t>
  </si>
  <si>
    <t>122_ED1_153</t>
  </si>
  <si>
    <t>122_ED1_154</t>
  </si>
  <si>
    <t>122_ED1_156</t>
  </si>
  <si>
    <t>122_ED1_157</t>
  </si>
  <si>
    <t>122_ED1_158</t>
  </si>
  <si>
    <t>122_ED1_159</t>
  </si>
  <si>
    <t>122_ED1_160</t>
  </si>
  <si>
    <t>122_ED1_161</t>
  </si>
  <si>
    <t>122_ED1_162</t>
  </si>
  <si>
    <t>122_ED1_163</t>
  </si>
  <si>
    <t>B, S?</t>
  </si>
  <si>
    <t>U</t>
  </si>
  <si>
    <t>11.3</t>
  </si>
  <si>
    <t>2.4.2</t>
  </si>
  <si>
    <t>14.4</t>
  </si>
  <si>
    <t>14.5</t>
  </si>
  <si>
    <t>Covered by generic check(s) in S-158:100.</t>
  </si>
  <si>
    <t>[10.1.1, 10.11.1]</t>
  </si>
  <si>
    <t>[14.2, 14.3]</t>
  </si>
  <si>
    <r>
      <t xml:space="preserve">For each feature record  where the </t>
    </r>
    <r>
      <rPr>
        <sz val="10"/>
        <color rgb="FFFF0000"/>
        <rFont val="Calibri"/>
        <family val="2"/>
        <scheme val="minor"/>
      </rPr>
      <t>identifier</t>
    </r>
    <r>
      <rPr>
        <sz val="10"/>
        <color rgb="FF000000"/>
        <rFont val="Calibri"/>
        <family val="2"/>
        <scheme val="minor"/>
      </rPr>
      <t xml:space="preserve"> is not unique WITHIN the dataset.</t>
    </r>
  </si>
  <si>
    <t>2.7.1</t>
  </si>
  <si>
    <r>
      <t xml:space="preserve">For each feature instance where more than one featureName is present, and the name </t>
    </r>
    <r>
      <rPr>
        <sz val="10"/>
        <color rgb="FFFF0000"/>
        <rFont val="Calibri"/>
        <family val="2"/>
        <scheme val="minor"/>
      </rPr>
      <t xml:space="preserve">and nameUsage </t>
    </r>
    <r>
      <rPr>
        <sz val="10"/>
        <color rgb="FF000000"/>
        <rFont val="Calibri"/>
        <family val="2"/>
        <scheme val="minor"/>
      </rPr>
      <t xml:space="preserve">subattributes of two or more featureName instances </t>
    </r>
    <r>
      <rPr>
        <sz val="10"/>
        <color rgb="FFFF0000"/>
        <rFont val="Calibri"/>
        <family val="2"/>
        <scheme val="minor"/>
      </rPr>
      <t>are</t>
    </r>
    <r>
      <rPr>
        <sz val="10"/>
        <color rgb="FF000000"/>
        <rFont val="Calibri"/>
        <family val="2"/>
        <scheme val="minor"/>
      </rPr>
      <t xml:space="preserve"> equal.</t>
    </r>
  </si>
  <si>
    <t>Clause ref. updated in 2.0.0</t>
  </si>
  <si>
    <t>PS; DCEG</t>
  </si>
  <si>
    <t>Clause refs. added in 2.0.0</t>
  </si>
  <si>
    <t>N/A</t>
  </si>
  <si>
    <t>Redundancy check. TBD whether explicit requirement is needed.</t>
  </si>
  <si>
    <t>If the srsName values encoded in the dataset are different from http://www.opengis.net/def/crs/EPSG/0/4326</t>
  </si>
  <si>
    <t>W</t>
  </si>
  <si>
    <t>For each feature instance that does not OVERLAP OR is WITHIN an area of DataCoverage</t>
  </si>
  <si>
    <t>Clause ref. updated in 2.0.0; check reformulated</t>
  </si>
  <si>
    <t>Sanity check</t>
  </si>
  <si>
    <r>
      <t>For each linear geometry, which contains vertices at a density Greater than 0.3mm at</t>
    </r>
    <r>
      <rPr>
        <sz val="10"/>
        <color rgb="FFFF0000"/>
        <rFont val="Calibri"/>
        <family val="2"/>
        <scheme val="minor"/>
      </rPr>
      <t xml:space="preserve"> maximum display scale</t>
    </r>
    <r>
      <rPr>
        <sz val="10"/>
        <color rgb="FF000000"/>
        <rFont val="Calibri"/>
        <family val="2"/>
        <scheme val="minor"/>
      </rPr>
      <t xml:space="preserve">. </t>
    </r>
  </si>
  <si>
    <t>Reformulated in terms of  display scale, refs. Updated</t>
  </si>
  <si>
    <r>
      <t xml:space="preserve">For each instance of ServiceHours where an instance of </t>
    </r>
    <r>
      <rPr>
        <sz val="10"/>
        <color rgb="FFFF0000"/>
        <rFont val="Calibri"/>
        <family val="2"/>
        <scheme val="minor"/>
      </rPr>
      <t>scheduleByDayOfWeek</t>
    </r>
    <r>
      <rPr>
        <sz val="10"/>
        <color rgb="FF000000"/>
        <rFont val="Calibri"/>
        <family val="2"/>
        <scheme val="minor"/>
      </rPr>
      <t xml:space="preserve"> attribute has temporal overlaps specified by </t>
    </r>
    <r>
      <rPr>
        <sz val="10"/>
        <color rgb="FFFF0000"/>
        <rFont val="Calibri"/>
        <family val="2"/>
        <scheme val="minor"/>
      </rPr>
      <t>timeIntervalsByDayOfWeek</t>
    </r>
    <r>
      <rPr>
        <sz val="10"/>
        <color rgb="FF000000"/>
        <rFont val="Calibri"/>
        <family val="2"/>
        <scheme val="minor"/>
      </rPr>
      <t xml:space="preserve"> attribute. </t>
    </r>
  </si>
  <si>
    <t>Sanity check; consider adding explicit requirement</t>
  </si>
  <si>
    <t>Covered by generic check(s) in S-158:100. (100_0302)</t>
  </si>
  <si>
    <t>For each catalogue in the exchange set for which there is no discovery metadata  in the exchange catalogue</t>
  </si>
  <si>
    <t>Ref. updated</t>
  </si>
  <si>
    <t>2.4.8.2, 17.19</t>
  </si>
  <si>
    <t>Clause 17.19 Remarks for textContent, from GI registry</t>
  </si>
  <si>
    <t>Clause 17.9 Remarks for information complex attribute from GI registry</t>
  </si>
  <si>
    <t>Redundant in 2.0.0, FC mandates ...Transmits</t>
  </si>
  <si>
    <t>Add explicit requirement</t>
  </si>
  <si>
    <t>2.5.5.6</t>
  </si>
  <si>
    <t>Implicit, but add explicit statement that the target must be in the same dataset</t>
  </si>
  <si>
    <t>For each update dataset, without a feature or information type, or spatial object</t>
  </si>
  <si>
    <t>Add updated feature or information type.</t>
  </si>
  <si>
    <t>Reformulated, file-less cancellation will have a discovery metadata record in CATALOG.XML but no dataset or support file</t>
  </si>
  <si>
    <t>8.1.1, 10.4.2</t>
  </si>
  <si>
    <t>No discovery metadata for catalogue.</t>
  </si>
  <si>
    <t>Add discovery metadata to exchange catalogue or remove catalogue from exchange set.</t>
  </si>
  <si>
    <t>Add explicit requirement in DCEG</t>
  </si>
  <si>
    <t>This should be an S-164 test and not a validation check.</t>
  </si>
  <si>
    <t>Only file-less cancellation is permitted</t>
  </si>
  <si>
    <r>
      <t xml:space="preserve">Remove the dataset file from the exchange set or correct the </t>
    </r>
    <r>
      <rPr>
        <sz val="10"/>
        <color rgb="FFFF0000"/>
        <rFont val="Calibri"/>
        <family val="2"/>
        <scheme val="minor"/>
      </rPr>
      <t>discovery</t>
    </r>
    <r>
      <rPr>
        <sz val="10"/>
        <rFont val="Calibri"/>
        <family val="2"/>
        <scheme val="minor"/>
      </rPr>
      <t xml:space="preserve"> metadata</t>
    </r>
  </si>
  <si>
    <r>
      <t xml:space="preserve">For each cancellation (termination) of a dataset </t>
    </r>
    <r>
      <rPr>
        <sz val="10"/>
        <color rgb="FFFF0000"/>
        <rFont val="Calibri"/>
        <family val="2"/>
        <scheme val="minor"/>
      </rPr>
      <t>(discovery metadata record with purpose=cancellation)</t>
    </r>
    <r>
      <rPr>
        <sz val="10"/>
        <color rgb="FF000000"/>
        <rFont val="Calibri"/>
        <family val="2"/>
        <scheme val="minor"/>
      </rPr>
      <t xml:space="preserve"> where the exchange set contains a corresponding dataset file</t>
    </r>
  </si>
  <si>
    <t>Modified to reflect use of only file-less cancellation</t>
  </si>
  <si>
    <t>Overlapping datasets within the same scale range</t>
  </si>
  <si>
    <t>C</t>
  </si>
  <si>
    <t>Correct coverages or scale ranges</t>
  </si>
  <si>
    <t>B</t>
  </si>
  <si>
    <t>Datasets in the same scale range have overlapping DataCoverage features</t>
  </si>
  <si>
    <t>E</t>
  </si>
  <si>
    <t>Character encoding for text must be UTF-8.</t>
  </si>
  <si>
    <t>Clause ref. updated in 2.0.0. Message harmonized with S-131 check</t>
  </si>
  <si>
    <t>Values of “name” sub attribute of “featureName” are identical.</t>
  </si>
  <si>
    <t>Values for “text” sub-attribute of “information” are identical.</t>
  </si>
  <si>
    <t>Message harmonized with S-131 checks</t>
  </si>
  <si>
    <t>Condition updated. Message harmonized with S-131 checks</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</si>
  <si>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</si>
  <si>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</si>
  <si>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r>
      <t xml:space="preserve">Mandatory </t>
    </r>
    <r>
      <rPr>
        <sz val="10"/>
        <color rgb="FFFF0000"/>
        <rFont val="Calibri"/>
        <family val="2"/>
        <scheme val="minor"/>
      </rPr>
      <t>meta</t>
    </r>
    <r>
      <rPr>
        <sz val="10"/>
        <color rgb="FF000000"/>
        <rFont val="Calibri"/>
        <family val="2"/>
        <scheme val="minor"/>
      </rPr>
      <t xml:space="preserve"> feature objects are missing. </t>
    </r>
  </si>
  <si>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</si>
  <si>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</si>
  <si>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</si>
  <si>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4.4.1</t>
  </si>
  <si>
    <t>Dataset contains overlapping DataCoverage features.</t>
  </si>
  <si>
    <t>For each DataCoverage feature that OVERLAPS or is WITHIN another DataCoverage.</t>
  </si>
  <si>
    <t>Remove overlap.</t>
  </si>
  <si>
    <t>DataCoverage features have different values of  the attribute minimum display scale.</t>
  </si>
  <si>
    <t>For each DataCoverage feature where the value of  the attribute minimum display scale is different from other Data Coverage meta features.</t>
  </si>
  <si>
    <t>Use the same values of minimum display scale.</t>
  </si>
  <si>
    <t>Different languages information refers to the same external file and its fragment.</t>
  </si>
  <si>
    <r>
      <t xml:space="preserve">For each feature, information type or complex attribute where two or more </t>
    </r>
    <r>
      <rPr>
        <i/>
        <sz val="10"/>
        <color rgb="FF000000"/>
        <rFont val="Calibri"/>
        <family val="2"/>
        <scheme val="minor"/>
      </rPr>
      <t>information</t>
    </r>
    <r>
      <rPr>
        <sz val="10"/>
        <color rgb="FF000000"/>
        <rFont val="Calibri"/>
        <family val="2"/>
        <scheme val="minor"/>
      </rPr>
      <t xml:space="preserve"> complex attributes are present AND they have different language value AND identical pair of  notNull values of the sub-attributes fileLocator and fileReference.</t>
    </r>
  </si>
  <si>
    <t>Replace with the correct fileLocator and fileReference combination.</t>
  </si>
  <si>
    <t>File reference attribute refers to a file with inadmissible format.</t>
  </si>
  <si>
    <t>For each information complex attribute where  the sub-attribute fileReference  has a file name with extension which is not equal one of .TXT or .HTM.</t>
  </si>
  <si>
    <t>Correct fileReference value and/or support file type.</t>
  </si>
  <si>
    <t>2.4.9.2</t>
  </si>
  <si>
    <t>Edition 2.0.0 does not permit XML support files.</t>
  </si>
  <si>
    <t>Text attribute contains more than 300 characters.</t>
  </si>
  <si>
    <t>For each instance of the text attribute that contains more than 300 characters</t>
  </si>
  <si>
    <t>Reduce content of text attribute or move to support file.</t>
  </si>
  <si>
    <t>SpatialQuality is associated with a Surface spatial object.</t>
  </si>
  <si>
    <t>For each SpatialQuality information type which is referenced by a Surface spatial object.</t>
  </si>
  <si>
    <t>Remove prohibited association.</t>
  </si>
  <si>
    <t>Prohibited vertical uncertainty attribute of SpatialQuality for curve spatial object.</t>
  </si>
  <si>
    <t>For each SpatialQuality information type which has vertical uncertainty populated and is referenced by a Curve or Composite Curve spatial object.</t>
  </si>
  <si>
    <t>Language code not from ISO 639-2/T list.</t>
  </si>
  <si>
    <r>
      <t xml:space="preserve">For each </t>
    </r>
    <r>
      <rPr>
        <i/>
        <sz val="10"/>
        <color rgb="FF000000"/>
        <rFont val="Calibri"/>
        <family val="2"/>
        <scheme val="minor"/>
      </rPr>
      <t>language</t>
    </r>
    <r>
      <rPr>
        <sz val="10"/>
        <color rgb="FF000000"/>
        <rFont val="Calibri"/>
        <family val="2"/>
        <scheme val="minor"/>
      </rPr>
      <t xml:space="preserve"> attribute which is populated with a value other than one of the 3-character ISO 639-2/T codes</t>
    </r>
    <r>
      <rPr>
        <sz val="10"/>
        <color rgb="FFFF0000"/>
        <rFont val="Calibri"/>
        <family val="2"/>
        <scheme val="minor"/>
      </rPr>
      <t xml:space="preserve"> in the S-100 languages list on the schema server</t>
    </r>
    <r>
      <rPr>
        <sz val="10"/>
        <color rgb="FF000000"/>
        <rFont val="Calibri"/>
        <family val="2"/>
        <scheme val="minor"/>
      </rPr>
      <t>.</t>
    </r>
  </si>
  <si>
    <t>Correct language code.</t>
  </si>
  <si>
    <t>2.4.8.3</t>
  </si>
  <si>
    <t>Reference to S-100 languages list added. Contact NIPWG if language codes need to be added to the IHO list.</t>
  </si>
  <si>
    <r>
      <t xml:space="preserve">Duplicate </t>
    </r>
    <r>
      <rPr>
        <sz val="10"/>
        <color rgb="FFFF0000"/>
        <rFont val="Calibri"/>
        <family val="2"/>
        <scheme val="minor"/>
      </rPr>
      <t>identifiers</t>
    </r>
    <r>
      <rPr>
        <sz val="10"/>
        <color rgb="FF000000"/>
        <rFont val="Calibri"/>
        <family val="2"/>
        <scheme val="minor"/>
      </rPr>
      <t xml:space="preserve"> exist within the dataset. </t>
    </r>
  </si>
  <si>
    <t>[5.2.2]; [4.1]</t>
  </si>
  <si>
    <t>Horizontal CRS is not EPSG 4326.</t>
  </si>
  <si>
    <t>Set the horizontal CRS to EPSG 4326 using the OGC URI convention.</t>
  </si>
  <si>
    <t>Feature instance not covered by an QualityOfNonBathymetricData instance.</t>
  </si>
  <si>
    <t>For each feature instance which is not COVERED_BY the combined coverage of QualityOfNonBathymetricData  meta feature instance.</t>
  </si>
  <si>
    <t>Ensure full coverage of QualityOfNonBathymetricData instance</t>
  </si>
  <si>
    <t>Reclassified W as in S-131</t>
  </si>
  <si>
    <t>Periodic date range must have both dateEnd and dateStart.</t>
  </si>
  <si>
    <t>For each feature instance where periodicDateRange sub-attribute dateStart OR dateEnd is missing.</t>
  </si>
  <si>
    <t>Populate both dateStart and dateEnd.</t>
  </si>
  <si>
    <t>Covered by 100_0004</t>
  </si>
  <si>
    <t>Covered by generic check 100_0004</t>
  </si>
  <si>
    <t>File is missing from exchange set.</t>
  </si>
  <si>
    <t>Modified to reflect use of file-less cancellation</t>
  </si>
  <si>
    <r>
      <t xml:space="preserve">For each file referenced by the catalogue file in the exchange set and not present in the exchange set </t>
    </r>
    <r>
      <rPr>
        <sz val="10"/>
        <color rgb="FFFF0000"/>
        <rFont val="Calibri"/>
        <family val="2"/>
        <scheme val="minor"/>
      </rPr>
      <t>and not cancelled by discovery metadata</t>
    </r>
  </si>
  <si>
    <r>
      <t xml:space="preserve">dateEnd </t>
    </r>
    <r>
      <rPr>
        <sz val="10"/>
        <color rgb="FFFF0000"/>
        <rFont val="Calibri"/>
        <family val="2"/>
        <scheme val="minor"/>
      </rPr>
      <t>precedes or coincides with</t>
    </r>
    <r>
      <rPr>
        <sz val="10"/>
        <color rgb="FF000000"/>
        <rFont val="Calibri"/>
        <family val="2"/>
        <scheme val="minor"/>
      </rPr>
      <t xml:space="preserve"> dateStart</t>
    </r>
  </si>
  <si>
    <r>
      <t xml:space="preserve">For each fixedDateRange where dateEnd and dateStart are not Null and dateEnd </t>
    </r>
    <r>
      <rPr>
        <sz val="10"/>
        <color rgb="FFFF0000"/>
        <rFont val="Calibri"/>
        <family val="2"/>
        <scheme val="minor"/>
      </rPr>
      <t>precedes or coincides with</t>
    </r>
    <r>
      <rPr>
        <sz val="10"/>
        <color rgb="FF000000"/>
        <rFont val="Calibri"/>
        <family val="2"/>
        <scheme val="minor"/>
      </rPr>
      <t xml:space="preserve"> dateStart.</t>
    </r>
  </si>
  <si>
    <t>Values have been padded with non-significant zeroes.</t>
  </si>
  <si>
    <t>For each instance of ServiceHours with more than one instance of scheduleByDayOfWeek, and where an instance of scheduleByDayOfWeek has a temporal overlap with another instance of scheduleByDayOfWeek.</t>
  </si>
  <si>
    <t>Schema location missing or incorrect</t>
  </si>
  <si>
    <t>If there is no schemaLocation attribute on the root element of the dataset or the schemaLocation attribute does not indicate the GML schema for this edition of the Product Specification.</t>
  </si>
  <si>
    <t>Amend dataset to use correct schemaLocation</t>
  </si>
  <si>
    <t>12.1.1</t>
  </si>
  <si>
    <t>Update cannot change limits of coverages</t>
  </si>
  <si>
    <t xml:space="preserve"> An update dataset changes the limit of a DataCoverage feature for the base dataset.</t>
  </si>
  <si>
    <t>Amend DataCoverage object or create new edition</t>
  </si>
  <si>
    <t>For each information attribute where fileReference references a text file and the fileLocator attribute is populated.</t>
  </si>
  <si>
    <t>Amend fileReference or use HTML support file</t>
  </si>
  <si>
    <t>B,U</t>
  </si>
  <si>
    <t>File locator does not reference a location in the file</t>
  </si>
  <si>
    <t>For each fileLocator with a value that does not indicate a location within the referenced file.</t>
  </si>
  <si>
    <t>Amend fileLocator value</t>
  </si>
  <si>
    <t>Complex attribute sourceIndication must have at least one sub-attribute populated</t>
  </si>
  <si>
    <t>For each complex attribute sourceIndication with none of its sub-attributes populated</t>
  </si>
  <si>
    <t>Delete or amend sourceIndication</t>
  </si>
  <si>
    <t>various</t>
  </si>
  <si>
    <t>Repeated attribute value</t>
  </si>
  <si>
    <t>For each attribute with the same values as another instance of the same attribute bound to the same feature, information type, or complex attribute</t>
  </si>
  <si>
    <t>Evaluate necessity for repetition and consider deletion of repeated instance</t>
  </si>
  <si>
    <t>B,U,S</t>
  </si>
  <si>
    <r>
      <t xml:space="preserve">Ensure that no duplicate </t>
    </r>
    <r>
      <rPr>
        <sz val="10"/>
        <color rgb="FFFF0000"/>
        <rFont val="Calibri"/>
        <family val="2"/>
        <scheme val="minor"/>
      </rPr>
      <t>identifiers</t>
    </r>
    <r>
      <rPr>
        <sz val="10"/>
        <rFont val="Calibri"/>
        <family val="2"/>
        <scheme val="minor"/>
      </rPr>
      <t xml:space="preserve"> exist.</t>
    </r>
  </si>
  <si>
    <r>
      <rPr>
        <sz val="10"/>
        <color rgb="FFFF0000"/>
        <rFont val="Calibri"/>
        <family val="2"/>
        <scheme val="minor"/>
      </rPr>
      <t>Dataset is not</t>
    </r>
    <r>
      <rPr>
        <sz val="10"/>
        <rFont val="Calibri"/>
        <family val="2"/>
        <scheme val="minor"/>
      </rPr>
      <t xml:space="preserve"> conformant to the GML schema.</t>
    </r>
  </si>
  <si>
    <r>
      <rPr>
        <sz val="10"/>
        <color rgb="FFFF0000"/>
        <rFont val="Calibri"/>
        <family val="2"/>
        <scheme val="minor"/>
      </rPr>
      <t>Text field is not</t>
    </r>
    <r>
      <rPr>
        <sz val="10"/>
        <color rgb="FF000000"/>
        <rFont val="Calibri"/>
        <family val="2"/>
        <scheme val="minor"/>
      </rPr>
      <t xml:space="preserve"> encoded using UTF-8</t>
    </r>
  </si>
  <si>
    <r>
      <t xml:space="preserve">Ensure that the cell is not larger than 500 </t>
    </r>
    <r>
      <rPr>
        <sz val="10"/>
        <color rgb="FFFF0000"/>
        <rFont val="Calibri"/>
        <family val="2"/>
        <scheme val="minor"/>
      </rPr>
      <t>KiB</t>
    </r>
  </si>
  <si>
    <r>
      <t xml:space="preserve">If the update dataset file size is greater than 500 </t>
    </r>
    <r>
      <rPr>
        <sz val="10"/>
        <color rgb="FFFF0000"/>
        <rFont val="Calibri"/>
        <family val="2"/>
        <scheme val="minor"/>
      </rPr>
      <t>KiB</t>
    </r>
  </si>
  <si>
    <r>
      <t xml:space="preserve">Ensure that the cell is not larger than 20 </t>
    </r>
    <r>
      <rPr>
        <sz val="10"/>
        <color rgb="FFFF0000"/>
        <rFont val="Calibri"/>
        <family val="2"/>
        <scheme val="minor"/>
      </rPr>
      <t>MiB</t>
    </r>
  </si>
  <si>
    <r>
      <t xml:space="preserve">If the cell file size is greater than 20 </t>
    </r>
    <r>
      <rPr>
        <sz val="10"/>
        <color rgb="FFFF0000"/>
        <rFont val="Calibri"/>
        <family val="2"/>
        <scheme val="minor"/>
      </rPr>
      <t>MiB</t>
    </r>
    <r>
      <rPr>
        <sz val="10"/>
        <color rgb="FF000000"/>
        <rFont val="Calibri"/>
        <family val="2"/>
        <scheme val="minor"/>
      </rPr>
      <t>.</t>
    </r>
  </si>
  <si>
    <t>6.1, 6.2, 7.9.3</t>
  </si>
  <si>
    <t>13.3.2, 13.3.3</t>
  </si>
  <si>
    <t>[7.3]; [2.6.3]</t>
  </si>
  <si>
    <t>2.4.10.3</t>
  </si>
  <si>
    <t>7.9.1</t>
  </si>
  <si>
    <t>2.4.10.3, 10.5.1</t>
  </si>
  <si>
    <t>10.5.1</t>
  </si>
  <si>
    <t>[7.4]; [2.6.10]</t>
  </si>
  <si>
    <t>[12.16]; [5.2.1]</t>
  </si>
  <si>
    <t>5.2.1, 17.9, various</t>
  </si>
  <si>
    <t>5.2.1, various</t>
  </si>
  <si>
    <t>Encoding instructions for features and information types using attribute information</t>
  </si>
  <si>
    <t>8.2.2, 9.1</t>
  </si>
  <si>
    <t>11.5.1</t>
  </si>
  <si>
    <t>[12.16]; [10.4]</t>
  </si>
  <si>
    <t>2.4.8.5</t>
  </si>
  <si>
    <t>File locators for text files are prohibited</t>
  </si>
  <si>
    <t>Complex attribute bearingInformation must have at least one sub-attribute populated</t>
  </si>
  <si>
    <t>For each complex attribute bearingInformation with none of its sub-attributes populated</t>
  </si>
  <si>
    <t>Delete or amend bearingInformation</t>
  </si>
  <si>
    <t>8.1.2</t>
  </si>
  <si>
    <t>Feature uses curve or point spatial primitive</t>
  </si>
  <si>
    <t>Encoding MPA features as surfaces is preferred</t>
  </si>
  <si>
    <t>Re-code using surface primitive</t>
  </si>
  <si>
    <t>6.1.1</t>
  </si>
  <si>
    <t>Value required for mandatory attribute</t>
  </si>
  <si>
    <t>For each attribute binding listed in in DCEG clause 2.4 as not nillableAND which is not populated</t>
  </si>
  <si>
    <t>Populate attribute</t>
  </si>
  <si>
    <t>One of sub-attributes "designationIdentifer" and "text" must be populated</t>
  </si>
  <si>
    <t>For each MarineProtectedArea.designation where designationIdentifer and text are both missing or null</t>
  </si>
  <si>
    <t>Populate sub-attribute designationIdentifier or text</t>
  </si>
  <si>
    <t>6.3.8</t>
  </si>
  <si>
    <t>MarineProtectedArea has attribute jurisdiction multiply populated</t>
  </si>
  <si>
    <t>For each MarineProtectedArea with attribute jurisdiction populated  as a direct attribute as well as a sub-attribute of complex attribute designation</t>
  </si>
  <si>
    <t>Populate jurisdiction as either attribute or sub-attribute but not both</t>
  </si>
  <si>
    <t>6.3.7</t>
  </si>
  <si>
    <t>NIPWG/S-122 TASK GROUP</t>
  </si>
  <si>
    <t>Nilled attribute code populated with non-nil code value</t>
  </si>
  <si>
    <t>For each nillable enumeration or codelist attribute where xsi:nil=true but attribute code is present and populated with a value &gt; 0</t>
  </si>
  <si>
    <t>Amend value of code or remove nilling</t>
  </si>
  <si>
    <t>B.U</t>
  </si>
  <si>
    <t>Requirement needs to be documented in DCEG</t>
  </si>
  <si>
    <t>Nilled attribute without nilReason populated</t>
  </si>
  <si>
    <t>For each nilled attribute without nilReason populated</t>
  </si>
  <si>
    <t>Populate nilReason for nilled attributes</t>
  </si>
  <si>
    <t>Producers may further restrict allowed values of nilReason. Requirement needs to be added to DCEG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</si>
</sst>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4">
    <font>
      <sz val="11"/>
      <color theme="1"/>
      <name val="Calibri"/>
      <charset val="134"/>
      <scheme val="minor"/>
    </font>
    <font>
      <sz val="10"/>
      <name val="Calibri"/>
      <family val="2"/>
      <scheme val="minor"/>
    </font>
    <font>
      <sz val="10"/>
      <color rgb="FFFF000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sz val="11"/>
      <color rgb="FF006100"/>
      <name val="Calibri"/>
      <family val="2"/>
      <scheme val="minor"/>
    </font>
    <font>
      <i/>
      <sz val="12"/>
      <color theme="9" tint="-0.249977111117893"/>
      <name val="Calibri"/>
      <family val="2"/>
      <scheme val="minor"/>
    </font>
    <font>
      <sz val="10"/>
      <name val="Calibri"/>
      <family val="2"/>
      <scheme val="minor"/>
    </font>
    <font>
      <sz val="10"/>
      <color theme="1"/>
      <name val="Calibri"/>
      <family val="2"/>
      <scheme val="minor"/>
    </font>
    <font>
      <sz val="10"/>
      <color rgb="FF000000"/>
      <name val="Calibri"/>
      <family val="2"/>
      <scheme val="minor"/>
    </font>
    <font>
      <i/>
      <sz val="10"/>
      <color rgb="FF000000"/>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auto="1"/>
      </top>
      <bottom/>
      <diagonal/>
    </border>
    <border>
      <left style="medium">
        <color auto="1"/>
      </left>
      <right style="medium">
        <color rgb="FF000000"/>
      </right>
      <top style="medium">
        <color auto="1"/>
      </top>
      <bottom style="medium">
        <color auto="1"/>
      </bottom>
      <diagonal/>
    </border>
    <border>
      <left style="thin">
        <color auto="1"/>
      </left>
      <right/>
      <top style="thin">
        <color auto="1"/>
      </top>
      <bottom style="thin">
        <color auto="1"/>
      </bottom>
      <diagonal/>
    </border>
    <border>
      <left style="medium">
        <color rgb="FF000000"/>
      </left>
      <right style="medium">
        <color rgb="FF000000"/>
      </right>
      <top style="medium">
        <color rgb="FF000000"/>
      </top>
      <bottom/>
      <diagonal/>
    </border>
  </borders>
  <cellStyleXfs count="3">
    <xf numFmtId="0" fontId="0" fillId="0" borderId="0"/>
    <xf numFmtId="0" fontId="7" fillId="7" borderId="0" applyNumberFormat="0" applyBorder="0" applyAlignment="0" applyProtection="0"/>
    <xf numFmtId="0" fontId="8" fillId="8" borderId="0" applyNumberFormat="0" applyBorder="0" applyAlignment="0" applyProtection="0"/>
  </cellStyleXfs>
  <cellXfs count="12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3" fillId="0" borderId="0" xfId="0" applyFont="1"/>
    <xf numFmtId="0" fontId="0" fillId="0" borderId="0" xfId="0" applyAlignment="1">
      <alignment horizontal="right" vertical="center"/>
    </xf>
    <xf numFmtId="0" fontId="0" fillId="0" borderId="0" xfId="0" applyAlignment="1">
      <alignment horizontal="right"/>
    </xf>
    <xf numFmtId="0" fontId="5" fillId="4" borderId="7" xfId="0" applyFont="1" applyFill="1" applyBorder="1" applyAlignment="1">
      <alignment horizontal="right" vertical="center"/>
    </xf>
    <xf numFmtId="0" fontId="6" fillId="3" borderId="0" xfId="0" applyFont="1" applyFill="1" applyAlignment="1">
      <alignment horizontal="left" vertical="center"/>
    </xf>
    <xf numFmtId="0" fontId="3" fillId="3" borderId="0" xfId="0" applyFont="1" applyFill="1"/>
    <xf numFmtId="0" fontId="6" fillId="3" borderId="0" xfId="0" applyFont="1" applyFill="1" applyAlignment="1">
      <alignment horizontal="center" vertical="center"/>
    </xf>
    <xf numFmtId="165" fontId="6" fillId="3" borderId="0" xfId="0" applyNumberFormat="1" applyFont="1" applyFill="1" applyAlignment="1">
      <alignment horizontal="center" vertical="center"/>
    </xf>
    <xf numFmtId="164" fontId="6" fillId="3" borderId="0" xfId="0" applyNumberFormat="1" applyFont="1" applyFill="1" applyAlignment="1">
      <alignment horizontal="center" vertical="center"/>
    </xf>
    <xf numFmtId="14" fontId="6" fillId="3" borderId="0" xfId="0" applyNumberFormat="1" applyFont="1" applyFill="1" applyAlignment="1">
      <alignment horizontal="center" vertical="center"/>
    </xf>
    <xf numFmtId="0" fontId="5" fillId="5" borderId="7" xfId="0" applyFont="1" applyFill="1" applyBorder="1" applyAlignment="1">
      <alignment horizontal="right" vertical="center"/>
    </xf>
    <xf numFmtId="0" fontId="5" fillId="5" borderId="0" xfId="0" applyFont="1" applyFill="1" applyAlignment="1">
      <alignment horizontal="center" vertical="center"/>
    </xf>
    <xf numFmtId="0" fontId="5" fillId="5" borderId="0" xfId="0" applyFont="1" applyFill="1"/>
    <xf numFmtId="0" fontId="6" fillId="3" borderId="8" xfId="0" applyFont="1" applyFill="1" applyBorder="1"/>
    <xf numFmtId="0" fontId="6" fillId="3" borderId="9" xfId="0" applyFont="1" applyFill="1" applyBorder="1" applyAlignment="1">
      <alignment horizontal="left" vertical="center"/>
    </xf>
    <xf numFmtId="0" fontId="6" fillId="3" borderId="0" xfId="0" applyFont="1" applyFill="1" applyAlignment="1">
      <alignment horizontal="left"/>
    </xf>
    <xf numFmtId="0" fontId="3" fillId="3" borderId="9" xfId="0" applyFont="1" applyFill="1" applyBorder="1" applyAlignment="1">
      <alignment horizontal="left"/>
    </xf>
    <xf numFmtId="0" fontId="3" fillId="3" borderId="9" xfId="0" applyFont="1" applyFill="1" applyBorder="1"/>
    <xf numFmtId="0" fontId="3" fillId="3" borderId="0" xfId="0" applyFont="1" applyFill="1" applyAlignment="1">
      <alignment horizontal="left"/>
    </xf>
    <xf numFmtId="0" fontId="3" fillId="3" borderId="11" xfId="0" applyFont="1" applyFill="1" applyBorder="1" applyAlignment="1">
      <alignment horizontal="right" vertical="center"/>
    </xf>
    <xf numFmtId="0" fontId="3" fillId="3" borderId="12" xfId="0" applyFont="1" applyFill="1" applyBorder="1" applyAlignment="1">
      <alignment horizontal="right"/>
    </xf>
    <xf numFmtId="0" fontId="3" fillId="3" borderId="12" xfId="0" applyFont="1" applyFill="1" applyBorder="1"/>
    <xf numFmtId="0" fontId="3" fillId="0" borderId="0" xfId="0" applyFont="1" applyAlignment="1">
      <alignment horizontal="right" vertical="center"/>
    </xf>
    <xf numFmtId="0" fontId="3" fillId="0" borderId="0" xfId="0" applyFont="1" applyAlignment="1">
      <alignment horizontal="right"/>
    </xf>
    <xf numFmtId="0" fontId="4" fillId="0" borderId="0" xfId="0" applyFont="1"/>
    <xf numFmtId="0" fontId="3" fillId="3" borderId="14" xfId="0" applyFont="1" applyFill="1" applyBorder="1"/>
    <xf numFmtId="0" fontId="5" fillId="6" borderId="0" xfId="0" applyFont="1" applyFill="1"/>
    <xf numFmtId="0" fontId="6" fillId="3" borderId="0" xfId="0" applyFont="1" applyFill="1"/>
    <xf numFmtId="0" fontId="6" fillId="3" borderId="9" xfId="0" applyFont="1" applyFill="1" applyBorder="1"/>
    <xf numFmtId="0" fontId="6" fillId="3" borderId="10" xfId="0" applyFont="1" applyFill="1" applyBorder="1"/>
    <xf numFmtId="0" fontId="3" fillId="3" borderId="15" xfId="0" applyFont="1" applyFill="1" applyBorder="1"/>
    <xf numFmtId="49" fontId="9" fillId="3" borderId="0" xfId="0" applyNumberFormat="1" applyFont="1" applyFill="1" applyAlignment="1">
      <alignment horizontal="center"/>
    </xf>
    <xf numFmtId="0" fontId="9" fillId="3" borderId="8" xfId="0" applyFont="1" applyFill="1" applyBorder="1"/>
    <xf numFmtId="0" fontId="10" fillId="0" borderId="3" xfId="0" applyFont="1" applyBorder="1" applyAlignment="1">
      <alignment horizontal="center" vertical="center" wrapText="1"/>
    </xf>
    <xf numFmtId="0" fontId="10" fillId="0" borderId="0" xfId="0" applyFont="1" applyAlignment="1">
      <alignment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0" fillId="0" borderId="0" xfId="0" applyFont="1"/>
    <xf numFmtId="0" fontId="10" fillId="0" borderId="3" xfId="0" applyFont="1" applyBorder="1" applyAlignment="1">
      <alignment horizontal="center" vertical="center"/>
    </xf>
    <xf numFmtId="0" fontId="10" fillId="9" borderId="1" xfId="0" applyFont="1" applyFill="1" applyBorder="1" applyAlignment="1">
      <alignment vertical="center" wrapText="1"/>
    </xf>
    <xf numFmtId="0" fontId="10" fillId="0" borderId="0" xfId="0" applyFont="1" applyAlignment="1">
      <alignment vertical="center"/>
    </xf>
    <xf numFmtId="0" fontId="10" fillId="9" borderId="1" xfId="0" applyFont="1" applyFill="1" applyBorder="1" applyAlignment="1">
      <alignment horizontal="center" vertical="center" wrapText="1"/>
    </xf>
    <xf numFmtId="0" fontId="10" fillId="0" borderId="0" xfId="0" applyFont="1" applyAlignment="1">
      <alignment horizontal="center"/>
    </xf>
    <xf numFmtId="0" fontId="9" fillId="3" borderId="0" xfId="0" applyFont="1" applyFill="1" applyAlignment="1">
      <alignment horizontal="left" vertical="center"/>
    </xf>
    <xf numFmtId="0" fontId="9" fillId="3" borderId="10" xfId="0" applyFont="1" applyFill="1" applyBorder="1" applyAlignment="1">
      <alignment horizontal="left"/>
    </xf>
    <xf numFmtId="0" fontId="9" fillId="3" borderId="0" xfId="0" applyFont="1" applyFill="1"/>
    <xf numFmtId="0" fontId="10" fillId="0" borderId="3" xfId="0" applyFont="1" applyBorder="1" applyAlignment="1">
      <alignment horizontal="left" vertical="center" wrapText="1"/>
    </xf>
    <xf numFmtId="49" fontId="10" fillId="0" borderId="3" xfId="1" applyNumberFormat="1" applyFont="1" applyFill="1" applyBorder="1" applyAlignment="1">
      <alignment horizontal="left" vertical="center" wrapText="1"/>
    </xf>
    <xf numFmtId="0" fontId="10" fillId="0" borderId="18" xfId="0" applyFont="1" applyBorder="1" applyAlignment="1">
      <alignment wrapText="1"/>
    </xf>
    <xf numFmtId="0" fontId="10" fillId="0" borderId="0" xfId="0" applyFont="1" applyAlignment="1">
      <alignment horizontal="left" wrapText="1"/>
    </xf>
    <xf numFmtId="0" fontId="11" fillId="0" borderId="0" xfId="0" applyFont="1" applyAlignment="1">
      <alignment wrapText="1"/>
    </xf>
    <xf numFmtId="0" fontId="10" fillId="2" borderId="2" xfId="0" applyFont="1" applyFill="1" applyBorder="1" applyAlignment="1">
      <alignment horizontal="center" vertical="center" wrapText="1"/>
    </xf>
    <xf numFmtId="0" fontId="12" fillId="10" borderId="18" xfId="0" applyFont="1" applyFill="1" applyBorder="1" applyAlignment="1">
      <alignment horizontal="justify" vertical="center" wrapText="1"/>
    </xf>
    <xf numFmtId="0" fontId="12" fillId="10" borderId="19" xfId="0" applyFont="1" applyFill="1" applyBorder="1" applyAlignment="1">
      <alignment horizontal="justify" vertical="center" wrapText="1"/>
    </xf>
    <xf numFmtId="0" fontId="12" fillId="10" borderId="18" xfId="0" applyFont="1" applyFill="1" applyBorder="1" applyAlignment="1">
      <alignment horizontal="left" vertical="center" wrapText="1"/>
    </xf>
    <xf numFmtId="0" fontId="12" fillId="10" borderId="19" xfId="0" applyFont="1" applyFill="1" applyBorder="1" applyAlignment="1">
      <alignment horizontal="left" vertical="center" wrapText="1"/>
    </xf>
    <xf numFmtId="0" fontId="12" fillId="10" borderId="20" xfId="0" applyFont="1" applyFill="1" applyBorder="1" applyAlignment="1">
      <alignment horizontal="justify" vertical="center" wrapText="1"/>
    </xf>
    <xf numFmtId="0" fontId="10" fillId="2" borderId="1" xfId="0" applyFont="1" applyFill="1" applyBorder="1" applyAlignment="1">
      <alignment vertical="center" wrapText="1"/>
    </xf>
    <xf numFmtId="0" fontId="11" fillId="10" borderId="19" xfId="0" applyFont="1" applyFill="1" applyBorder="1" applyAlignment="1">
      <alignment horizontal="justify" vertical="center" wrapText="1"/>
    </xf>
    <xf numFmtId="0" fontId="11" fillId="9" borderId="0" xfId="0" applyFont="1" applyFill="1" applyAlignment="1">
      <alignment wrapText="1"/>
    </xf>
    <xf numFmtId="0" fontId="10" fillId="0" borderId="21" xfId="0" applyFont="1" applyBorder="1" applyAlignment="1">
      <alignment horizontal="left" vertical="center" wrapText="1"/>
    </xf>
    <xf numFmtId="0" fontId="10" fillId="0" borderId="18" xfId="0" applyFont="1" applyBorder="1" applyAlignment="1">
      <alignment horizontal="left" vertical="center" wrapText="1"/>
    </xf>
    <xf numFmtId="0" fontId="10" fillId="0" borderId="18" xfId="1" applyFont="1" applyFill="1" applyBorder="1" applyAlignment="1">
      <alignment horizontal="left" vertical="center" wrapText="1"/>
    </xf>
    <xf numFmtId="49" fontId="10" fillId="0" borderId="18" xfId="0" applyNumberFormat="1" applyFont="1" applyBorder="1" applyAlignment="1">
      <alignment horizontal="left" vertical="center" wrapText="1"/>
    </xf>
    <xf numFmtId="49" fontId="10" fillId="0" borderId="18" xfId="1" applyNumberFormat="1" applyFont="1" applyFill="1" applyBorder="1" applyAlignment="1">
      <alignment horizontal="left" vertical="center" wrapText="1"/>
    </xf>
    <xf numFmtId="0" fontId="10" fillId="0" borderId="18" xfId="2" applyFont="1" applyFill="1" applyBorder="1" applyAlignment="1">
      <alignment horizontal="left" vertical="center" wrapText="1"/>
    </xf>
    <xf numFmtId="0" fontId="10" fillId="0" borderId="18" xfId="0" applyFont="1" applyBorder="1" applyAlignment="1">
      <alignment horizontal="left"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3" xfId="0" applyFont="1" applyBorder="1" applyAlignment="1">
      <alignment horizontal="center" vertical="center"/>
    </xf>
    <xf numFmtId="0" fontId="10" fillId="0" borderId="23" xfId="0" applyFont="1" applyBorder="1" applyAlignment="1">
      <alignment horizontal="center"/>
    </xf>
    <xf numFmtId="0" fontId="10" fillId="2" borderId="24" xfId="0" applyFont="1" applyFill="1" applyBorder="1" applyAlignment="1">
      <alignment vertical="center" wrapText="1"/>
    </xf>
    <xf numFmtId="0" fontId="10" fillId="9" borderId="24" xfId="0" applyFont="1" applyFill="1" applyBorder="1" applyAlignment="1">
      <alignment vertical="center" wrapText="1"/>
    </xf>
    <xf numFmtId="0" fontId="10" fillId="0" borderId="1" xfId="0" applyFont="1" applyBorder="1"/>
    <xf numFmtId="0" fontId="12" fillId="10" borderId="1" xfId="0" applyFont="1" applyFill="1" applyBorder="1" applyAlignment="1">
      <alignment horizontal="justify" vertical="center" wrapText="1"/>
    </xf>
    <xf numFmtId="0" fontId="11"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horizontal="justify" vertical="center" wrapText="1"/>
    </xf>
    <xf numFmtId="0" fontId="1" fillId="0" borderId="1" xfId="0" applyFont="1" applyBorder="1"/>
    <xf numFmtId="0" fontId="1" fillId="0" borderId="1" xfId="0" applyFont="1" applyBorder="1" applyAlignment="1">
      <alignment wrapText="1"/>
    </xf>
    <xf numFmtId="0" fontId="2" fillId="0" borderId="0" xfId="0" applyFont="1" applyAlignment="1">
      <alignment wrapText="1"/>
    </xf>
    <xf numFmtId="0" fontId="10" fillId="0" borderId="4" xfId="0" applyFont="1" applyBorder="1" applyAlignment="1">
      <alignment horizontal="center" vertical="center" wrapText="1"/>
    </xf>
    <xf numFmtId="0" fontId="1" fillId="0" borderId="0" xfId="0" applyFont="1" applyAlignment="1">
      <alignment horizontal="center" wrapText="1"/>
    </xf>
    <xf numFmtId="0" fontId="10" fillId="0" borderId="23" xfId="0" applyFont="1" applyBorder="1" applyAlignment="1">
      <alignment horizontal="center" wrapText="1"/>
    </xf>
    <xf numFmtId="0" fontId="10" fillId="0" borderId="0" xfId="0" applyFont="1" applyAlignment="1">
      <alignment vertical="center" wrapText="1"/>
    </xf>
    <xf numFmtId="0" fontId="10" fillId="0" borderId="0" xfId="0" applyFont="1" applyAlignment="1">
      <alignment horizont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10" borderId="19" xfId="0" applyFont="1" applyFill="1" applyBorder="1" applyAlignment="1">
      <alignment horizontal="justify" vertical="center" wrapText="1"/>
    </xf>
    <xf numFmtId="0" fontId="2" fillId="0" borderId="23" xfId="0" applyFont="1" applyBorder="1" applyAlignment="1">
      <alignment horizontal="center" vertical="center" wrapText="1"/>
    </xf>
    <xf numFmtId="0" fontId="2" fillId="0" borderId="22" xfId="0" applyFont="1" applyBorder="1" applyAlignment="1">
      <alignment horizontal="center" vertical="center" wrapText="1"/>
    </xf>
    <xf numFmtId="0" fontId="2" fillId="10" borderId="18" xfId="0" applyFont="1" applyFill="1" applyBorder="1" applyAlignment="1">
      <alignment horizontal="justify" vertical="center" wrapText="1"/>
    </xf>
    <xf numFmtId="0" fontId="1" fillId="0" borderId="18" xfId="0" applyFont="1" applyBorder="1" applyAlignment="1">
      <alignment horizontal="left" vertical="center" wrapText="1"/>
    </xf>
    <xf numFmtId="0" fontId="1" fillId="0" borderId="19" xfId="0" applyFont="1" applyBorder="1" applyAlignment="1">
      <alignment horizontal="justify" vertical="center" wrapText="1"/>
    </xf>
    <xf numFmtId="0" fontId="2" fillId="0" borderId="23" xfId="0" applyFont="1" applyBorder="1" applyAlignment="1">
      <alignment horizontal="center"/>
    </xf>
    <xf numFmtId="0" fontId="1" fillId="0" borderId="18" xfId="0" applyFont="1" applyBorder="1" applyAlignment="1">
      <alignment horizontal="left" wrapText="1"/>
    </xf>
    <xf numFmtId="0" fontId="1" fillId="10" borderId="19" xfId="0" applyFont="1" applyFill="1" applyBorder="1" applyAlignment="1">
      <alignment horizontal="justify" vertical="center" wrapText="1"/>
    </xf>
    <xf numFmtId="0" fontId="2" fillId="0" borderId="18" xfId="0" applyFont="1" applyBorder="1" applyAlignment="1">
      <alignment horizontal="left" wrapText="1"/>
    </xf>
    <xf numFmtId="0" fontId="1" fillId="0" borderId="23" xfId="0" applyFont="1" applyBorder="1" applyAlignment="1">
      <alignment horizontal="center" vertical="center" wrapText="1"/>
    </xf>
    <xf numFmtId="0" fontId="1" fillId="0" borderId="3" xfId="0" applyFont="1" applyBorder="1" applyAlignment="1">
      <alignment horizontal="left" vertical="center" wrapText="1"/>
    </xf>
    <xf numFmtId="0" fontId="2" fillId="0" borderId="18" xfId="0" applyFont="1" applyBorder="1" applyAlignment="1">
      <alignment horizontal="left" vertical="center" wrapText="1"/>
    </xf>
    <xf numFmtId="0" fontId="2" fillId="0" borderId="4" xfId="0" applyFont="1" applyBorder="1" applyAlignment="1">
      <alignment horizontal="center" vertical="center"/>
    </xf>
    <xf numFmtId="0" fontId="1" fillId="0" borderId="26" xfId="0" applyFont="1" applyBorder="1" applyAlignment="1">
      <alignment horizontal="center" vertical="center" wrapText="1"/>
    </xf>
    <xf numFmtId="0" fontId="10" fillId="0" borderId="27" xfId="0" applyFont="1" applyBorder="1" applyAlignment="1">
      <alignment horizontal="left" wrapText="1"/>
    </xf>
    <xf numFmtId="0" fontId="10" fillId="0" borderId="19" xfId="0" applyFont="1" applyBorder="1" applyAlignment="1">
      <alignment horizontal="left" wrapText="1"/>
    </xf>
    <xf numFmtId="0" fontId="1" fillId="0" borderId="1" xfId="0" applyFont="1" applyBorder="1" applyAlignment="1">
      <alignment horizontal="left" wrapText="1"/>
    </xf>
    <xf numFmtId="0" fontId="1" fillId="0" borderId="25"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vertical="center"/>
    </xf>
    <xf numFmtId="49" fontId="1" fillId="0" borderId="1" xfId="1" applyNumberFormat="1"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10" borderId="1" xfId="0" applyFont="1" applyFill="1" applyBorder="1" applyAlignment="1">
      <alignment horizontal="justify" vertical="center" wrapText="1"/>
    </xf>
    <xf numFmtId="0" fontId="1" fillId="0" borderId="23" xfId="0" applyFont="1" applyBorder="1" applyAlignment="1">
      <alignment horizontal="center"/>
    </xf>
    <xf numFmtId="0" fontId="2" fillId="0" borderId="1" xfId="0" applyFont="1" applyBorder="1" applyAlignment="1">
      <alignment wrapText="1"/>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3" xfId="0" applyFont="1" applyFill="1" applyBorder="1" applyAlignment="1">
      <alignment horizontal="center" vertical="center"/>
    </xf>
    <xf numFmtId="0" fontId="5" fillId="5" borderId="7" xfId="0" applyFont="1" applyFill="1" applyBorder="1" applyAlignment="1">
      <alignment horizontal="right" vertical="center"/>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12" sqref="C12"/>
    </sheetView>
  </sheetViews>
  <sheetFormatPr defaultColWidth="9" defaultRowHeight="15"/>
  <cols>
    <col min="1" max="1" width="4.85546875" customWidth="1"/>
    <col min="2" max="2" width="20.85546875" style="10" customWidth="1"/>
    <col min="3" max="3" width="36.42578125" style="11" customWidth="1"/>
    <col min="4" max="4" width="12.42578125" customWidth="1"/>
    <col min="5" max="6" width="14.7109375" customWidth="1"/>
    <col min="7" max="7" width="6.42578125" customWidth="1"/>
  </cols>
  <sheetData>
    <row r="2" spans="2:8" ht="33.6" customHeight="1">
      <c r="B2" s="125" t="s">
        <v>97</v>
      </c>
      <c r="C2" s="126"/>
      <c r="D2" s="126"/>
      <c r="E2" s="126"/>
      <c r="F2" s="126"/>
      <c r="G2" s="127"/>
      <c r="H2" s="33"/>
    </row>
    <row r="3" spans="2:8" s="9" customFormat="1" ht="20.45" customHeight="1">
      <c r="B3" s="12" t="s">
        <v>0</v>
      </c>
      <c r="C3" s="13" t="s">
        <v>92</v>
      </c>
      <c r="D3" s="14"/>
      <c r="E3" s="14"/>
      <c r="F3" s="14"/>
      <c r="G3" s="34"/>
    </row>
    <row r="4" spans="2:8" s="9" customFormat="1" ht="20.45" customHeight="1">
      <c r="B4" s="12" t="s">
        <v>1</v>
      </c>
      <c r="C4" s="52" t="s">
        <v>93</v>
      </c>
      <c r="D4" s="14"/>
      <c r="E4" s="14"/>
      <c r="F4" s="14"/>
      <c r="G4" s="34"/>
    </row>
    <row r="5" spans="2:8" s="9" customFormat="1" ht="20.45" customHeight="1">
      <c r="B5" s="12" t="s">
        <v>2</v>
      </c>
      <c r="C5" s="13" t="s">
        <v>3</v>
      </c>
      <c r="D5" s="14"/>
      <c r="E5" s="14"/>
      <c r="F5" s="14"/>
      <c r="G5" s="34"/>
    </row>
    <row r="6" spans="2:8" s="9" customFormat="1" ht="20.45" customHeight="1">
      <c r="B6" s="12" t="s">
        <v>4</v>
      </c>
      <c r="C6" s="15" t="s">
        <v>27</v>
      </c>
      <c r="D6" s="14"/>
      <c r="E6" s="14"/>
      <c r="F6" s="14"/>
      <c r="G6" s="34"/>
    </row>
    <row r="7" spans="2:8" s="9" customFormat="1" ht="20.45" customHeight="1">
      <c r="B7" s="12" t="s">
        <v>5</v>
      </c>
      <c r="C7" s="40" t="s">
        <v>31</v>
      </c>
      <c r="D7" s="14"/>
      <c r="E7" s="14"/>
      <c r="F7" s="14"/>
      <c r="G7" s="34"/>
    </row>
    <row r="8" spans="2:8" s="9" customFormat="1" ht="20.45" customHeight="1">
      <c r="B8" s="12" t="s">
        <v>6</v>
      </c>
      <c r="C8" s="16">
        <v>46038</v>
      </c>
      <c r="D8" s="14"/>
      <c r="E8" s="14"/>
      <c r="F8" s="14"/>
      <c r="G8" s="34"/>
    </row>
    <row r="9" spans="2:8" s="9" customFormat="1" ht="20.45" customHeight="1">
      <c r="B9" s="12" t="s">
        <v>7</v>
      </c>
      <c r="C9" s="17">
        <v>46023</v>
      </c>
      <c r="D9" s="14"/>
      <c r="E9" s="14"/>
      <c r="F9" s="14"/>
      <c r="G9" s="34"/>
    </row>
    <row r="10" spans="2:8" s="9" customFormat="1" ht="20.45" customHeight="1">
      <c r="B10" s="12" t="s">
        <v>8</v>
      </c>
      <c r="C10" s="18" t="s">
        <v>9</v>
      </c>
      <c r="D10" s="14"/>
      <c r="E10" s="14"/>
      <c r="F10" s="14"/>
      <c r="G10" s="34"/>
    </row>
    <row r="11" spans="2:8" s="9" customFormat="1" ht="20.45" customHeight="1">
      <c r="B11" s="12" t="s">
        <v>10</v>
      </c>
      <c r="C11" s="15" t="s">
        <v>430</v>
      </c>
      <c r="D11" s="14"/>
      <c r="E11" s="14"/>
      <c r="F11" s="14"/>
      <c r="G11" s="34"/>
    </row>
    <row r="12" spans="2:8" s="9" customFormat="1" ht="15" customHeight="1">
      <c r="B12" s="19"/>
      <c r="C12" s="20" t="s">
        <v>1</v>
      </c>
      <c r="D12" s="21" t="s">
        <v>11</v>
      </c>
      <c r="E12" s="35" t="s">
        <v>12</v>
      </c>
      <c r="F12" s="35"/>
      <c r="G12" s="34"/>
    </row>
    <row r="13" spans="2:8" s="9" customFormat="1" ht="20.45" customHeight="1">
      <c r="B13" s="128" t="s">
        <v>13</v>
      </c>
      <c r="C13" s="13" t="s">
        <v>94</v>
      </c>
      <c r="D13" s="41" t="s">
        <v>28</v>
      </c>
      <c r="E13" s="22"/>
      <c r="F13" s="36"/>
      <c r="G13" s="34"/>
    </row>
    <row r="14" spans="2:8" s="9" customFormat="1" ht="20.45" customHeight="1">
      <c r="B14" s="128"/>
      <c r="C14" s="23" t="s">
        <v>95</v>
      </c>
      <c r="D14" s="41" t="s">
        <v>28</v>
      </c>
      <c r="E14" s="37"/>
      <c r="F14" s="38"/>
      <c r="G14" s="34"/>
    </row>
    <row r="15" spans="2:8" s="9" customFormat="1" ht="20.45" customHeight="1">
      <c r="B15" s="128"/>
      <c r="C15" s="24" t="s">
        <v>96</v>
      </c>
      <c r="D15" s="41" t="s">
        <v>28</v>
      </c>
      <c r="E15" s="36"/>
      <c r="F15" s="37"/>
      <c r="G15" s="34"/>
    </row>
    <row r="16" spans="2:8" s="9" customFormat="1" ht="20.45" customHeight="1">
      <c r="B16" s="128"/>
      <c r="C16" s="53" t="s">
        <v>29</v>
      </c>
      <c r="D16" s="54" t="s">
        <v>30</v>
      </c>
      <c r="E16" s="26"/>
      <c r="F16" s="26"/>
      <c r="G16" s="34"/>
    </row>
    <row r="17" spans="2:7" s="9" customFormat="1" ht="20.45" customHeight="1">
      <c r="B17" s="128"/>
      <c r="C17" s="25"/>
      <c r="D17" s="26"/>
      <c r="E17" s="26"/>
      <c r="F17" s="26"/>
      <c r="G17" s="34"/>
    </row>
    <row r="18" spans="2:7" s="9" customFormat="1" ht="20.45" customHeight="1">
      <c r="B18" s="128"/>
      <c r="C18" s="27"/>
      <c r="D18" s="14"/>
      <c r="E18" s="14"/>
      <c r="F18" s="14"/>
      <c r="G18" s="34"/>
    </row>
    <row r="19" spans="2:7" s="9" customFormat="1" ht="20.45" customHeight="1">
      <c r="B19" s="28"/>
      <c r="C19" s="29"/>
      <c r="D19" s="30"/>
      <c r="E19" s="30"/>
      <c r="F19" s="30"/>
      <c r="G19" s="39"/>
    </row>
    <row r="20" spans="2:7" s="9" customFormat="1" ht="20.45" customHeight="1">
      <c r="B20" s="31"/>
      <c r="C20" s="32"/>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89"/>
  <sheetViews>
    <sheetView tabSelected="1" zoomScaleNormal="100" workbookViewId="0">
      <pane ySplit="1" topLeftCell="A73" activePane="bottomLeft" state="frozen"/>
      <selection pane="bottomLeft" activeCell="A88" sqref="A88"/>
    </sheetView>
  </sheetViews>
  <sheetFormatPr defaultColWidth="11.42578125" defaultRowHeight="12.75"/>
  <cols>
    <col min="1" max="1" width="12.42578125" style="3" customWidth="1"/>
    <col min="2" max="2" width="11.42578125" style="4"/>
    <col min="3" max="3" width="11.42578125" style="3"/>
    <col min="4" max="4" width="34.5703125" style="43" customWidth="1"/>
    <col min="5" max="5" width="57.28515625" style="43" customWidth="1"/>
    <col min="6" max="6" width="34.140625" style="43" customWidth="1"/>
    <col min="7" max="7" width="17.7109375" style="49" customWidth="1"/>
    <col min="8" max="8" width="11.42578125" style="51" customWidth="1"/>
    <col min="9" max="9" width="10.28515625" style="46" customWidth="1"/>
    <col min="10" max="10" width="9.28515625" style="46" customWidth="1"/>
    <col min="11" max="11" width="8.85546875" style="46" customWidth="1"/>
    <col min="12" max="12" width="9.42578125" style="43" customWidth="1"/>
    <col min="13" max="13" width="25.5703125" style="59" customWidth="1"/>
    <col min="14" max="14" width="11.42578125" style="5"/>
    <col min="15" max="16384" width="11.42578125" style="1"/>
  </cols>
  <sheetData>
    <row r="1" spans="1:18" ht="30" customHeight="1" thickBot="1">
      <c r="A1" s="6" t="s">
        <v>14</v>
      </c>
      <c r="B1" s="6" t="s">
        <v>15</v>
      </c>
      <c r="C1" s="6" t="s">
        <v>16</v>
      </c>
      <c r="D1" s="60" t="s">
        <v>17</v>
      </c>
      <c r="E1" s="60" t="s">
        <v>18</v>
      </c>
      <c r="F1" s="60" t="s">
        <v>19</v>
      </c>
      <c r="G1" s="48" t="s">
        <v>20</v>
      </c>
      <c r="H1" s="50" t="s">
        <v>21</v>
      </c>
      <c r="I1" s="66" t="s">
        <v>22</v>
      </c>
      <c r="J1" s="80" t="s">
        <v>23</v>
      </c>
      <c r="K1" s="80" t="s">
        <v>24</v>
      </c>
      <c r="L1" s="81" t="s">
        <v>90</v>
      </c>
      <c r="M1" s="68" t="s">
        <v>91</v>
      </c>
      <c r="N1" s="43"/>
    </row>
    <row r="2" spans="1:18" ht="26.25" thickBot="1">
      <c r="A2" s="44" t="s">
        <v>190</v>
      </c>
      <c r="B2" s="45" t="str">
        <f>_xlfn.CONCAT("122_", TEXT(ROW()-1, "0000"))</f>
        <v>122_0001</v>
      </c>
      <c r="C2" s="7" t="s">
        <v>305</v>
      </c>
      <c r="D2" s="61" t="s">
        <v>39</v>
      </c>
      <c r="E2" s="61" t="s">
        <v>98</v>
      </c>
      <c r="F2" s="69" t="s">
        <v>60</v>
      </c>
      <c r="G2" s="61" t="s">
        <v>25</v>
      </c>
      <c r="H2" s="99">
        <v>7.3</v>
      </c>
      <c r="I2" s="85" t="s">
        <v>31</v>
      </c>
      <c r="J2" s="82"/>
      <c r="K2" s="82"/>
      <c r="L2" s="83" t="s">
        <v>87</v>
      </c>
      <c r="M2" s="84" t="s">
        <v>264</v>
      </c>
      <c r="N2" s="43"/>
      <c r="O2" s="2"/>
      <c r="P2" s="2"/>
      <c r="Q2" s="2"/>
      <c r="R2" s="2"/>
    </row>
    <row r="3" spans="1:18" ht="26.25" hidden="1" thickBot="1">
      <c r="A3" s="44" t="s">
        <v>191</v>
      </c>
      <c r="B3" s="45" t="str">
        <f t="shared" ref="B3:B66" si="0">_xlfn.CONCAT("122_", TEXT(ROW()-1, "0000"))</f>
        <v>122_0002</v>
      </c>
      <c r="C3" s="7" t="s">
        <v>305</v>
      </c>
      <c r="D3" s="62" t="s">
        <v>134</v>
      </c>
      <c r="E3" s="62" t="s">
        <v>393</v>
      </c>
      <c r="F3" s="101" t="s">
        <v>392</v>
      </c>
      <c r="G3" s="67" t="s">
        <v>25</v>
      </c>
      <c r="H3" s="76">
        <v>9.8000000000000007</v>
      </c>
      <c r="I3" s="85" t="s">
        <v>31</v>
      </c>
      <c r="J3" s="82"/>
      <c r="K3" s="87" t="s">
        <v>26</v>
      </c>
      <c r="L3" s="83" t="s">
        <v>252</v>
      </c>
      <c r="M3" s="84" t="s">
        <v>258</v>
      </c>
      <c r="N3" s="43"/>
    </row>
    <row r="4" spans="1:18" ht="26.25" thickBot="1">
      <c r="A4" s="44" t="s">
        <v>192</v>
      </c>
      <c r="B4" s="45" t="str">
        <f t="shared" si="0"/>
        <v>122_0003</v>
      </c>
      <c r="C4" s="8" t="s">
        <v>305</v>
      </c>
      <c r="D4" s="62" t="s">
        <v>346</v>
      </c>
      <c r="E4" s="62" t="s">
        <v>261</v>
      </c>
      <c r="F4" s="101" t="s">
        <v>387</v>
      </c>
      <c r="G4" s="62" t="s">
        <v>25</v>
      </c>
      <c r="H4" s="99">
        <v>12.8</v>
      </c>
      <c r="I4" s="85" t="s">
        <v>31</v>
      </c>
      <c r="J4" s="82"/>
      <c r="K4" s="82"/>
      <c r="L4" s="83" t="s">
        <v>89</v>
      </c>
      <c r="M4" s="84" t="s">
        <v>264</v>
      </c>
      <c r="N4" s="43"/>
    </row>
    <row r="5" spans="1:18" ht="39" thickBot="1">
      <c r="A5" s="44" t="s">
        <v>193</v>
      </c>
      <c r="B5" s="45" t="str">
        <f t="shared" si="0"/>
        <v>122_0004</v>
      </c>
      <c r="C5" s="8" t="s">
        <v>301</v>
      </c>
      <c r="D5" s="62" t="s">
        <v>314</v>
      </c>
      <c r="E5" s="62" t="s">
        <v>99</v>
      </c>
      <c r="F5" s="70" t="s">
        <v>163</v>
      </c>
      <c r="G5" s="62" t="s">
        <v>86</v>
      </c>
      <c r="H5" s="99">
        <v>4.2</v>
      </c>
      <c r="I5" s="85" t="s">
        <v>31</v>
      </c>
      <c r="J5" s="82"/>
      <c r="K5" s="82"/>
      <c r="L5" s="83" t="s">
        <v>87</v>
      </c>
      <c r="M5" s="84" t="s">
        <v>264</v>
      </c>
      <c r="N5" s="43"/>
    </row>
    <row r="6" spans="1:18" ht="39" hidden="1" thickBot="1">
      <c r="A6" s="44" t="s">
        <v>194</v>
      </c>
      <c r="B6" s="45" t="str">
        <f t="shared" si="0"/>
        <v>122_0005</v>
      </c>
      <c r="C6" s="8" t="s">
        <v>305</v>
      </c>
      <c r="D6" s="62" t="s">
        <v>135</v>
      </c>
      <c r="E6" s="62" t="s">
        <v>100</v>
      </c>
      <c r="F6" s="70" t="s">
        <v>61</v>
      </c>
      <c r="G6" s="62" t="s">
        <v>86</v>
      </c>
      <c r="H6" s="76" t="s">
        <v>255</v>
      </c>
      <c r="I6" s="85" t="s">
        <v>31</v>
      </c>
      <c r="J6" s="82"/>
      <c r="K6" s="87" t="s">
        <v>26</v>
      </c>
      <c r="L6" s="83" t="s">
        <v>88</v>
      </c>
      <c r="M6" s="84" t="s">
        <v>258</v>
      </c>
      <c r="N6" s="43"/>
    </row>
    <row r="7" spans="1:18" s="46" customFormat="1" ht="39" thickBot="1">
      <c r="A7" s="44" t="s">
        <v>195</v>
      </c>
      <c r="B7" s="45" t="str">
        <f t="shared" si="0"/>
        <v>122_0006</v>
      </c>
      <c r="C7" s="47" t="s">
        <v>270</v>
      </c>
      <c r="D7" s="62" t="s">
        <v>364</v>
      </c>
      <c r="E7" s="62" t="s">
        <v>32</v>
      </c>
      <c r="F7" s="71" t="s">
        <v>62</v>
      </c>
      <c r="G7" s="62" t="s">
        <v>25</v>
      </c>
      <c r="H7" s="99">
        <v>12.4</v>
      </c>
      <c r="I7" s="85" t="s">
        <v>31</v>
      </c>
      <c r="J7" s="85"/>
      <c r="K7" s="85"/>
      <c r="L7" s="83" t="s">
        <v>88</v>
      </c>
      <c r="M7" s="84" t="s">
        <v>264</v>
      </c>
      <c r="N7" s="43"/>
    </row>
    <row r="8" spans="1:18" s="46" customFormat="1" ht="26.25" thickBot="1">
      <c r="A8" s="44" t="s">
        <v>196</v>
      </c>
      <c r="B8" s="45" t="str">
        <f t="shared" si="0"/>
        <v>122_0007</v>
      </c>
      <c r="C8" s="47" t="s">
        <v>270</v>
      </c>
      <c r="D8" s="62" t="s">
        <v>136</v>
      </c>
      <c r="E8" s="62" t="s">
        <v>101</v>
      </c>
      <c r="F8" s="71" t="s">
        <v>63</v>
      </c>
      <c r="G8" s="97" t="s">
        <v>265</v>
      </c>
      <c r="H8" s="98" t="s">
        <v>347</v>
      </c>
      <c r="I8" s="85" t="s">
        <v>31</v>
      </c>
      <c r="J8" s="85"/>
      <c r="K8" s="85"/>
      <c r="L8" s="83" t="s">
        <v>87</v>
      </c>
      <c r="M8" s="84" t="s">
        <v>266</v>
      </c>
      <c r="N8" s="43"/>
    </row>
    <row r="9" spans="1:18" ht="39" hidden="1" thickBot="1">
      <c r="A9" s="44" t="s">
        <v>197</v>
      </c>
      <c r="B9" s="45" t="str">
        <f t="shared" si="0"/>
        <v>122_0008</v>
      </c>
      <c r="C9" s="8" t="s">
        <v>305</v>
      </c>
      <c r="D9" s="62" t="s">
        <v>137</v>
      </c>
      <c r="E9" s="62" t="s">
        <v>102</v>
      </c>
      <c r="F9" s="70" t="s">
        <v>164</v>
      </c>
      <c r="G9" s="62"/>
      <c r="H9" s="77"/>
      <c r="I9" s="85" t="s">
        <v>31</v>
      </c>
      <c r="J9" s="85"/>
      <c r="K9" s="88" t="s">
        <v>26</v>
      </c>
      <c r="L9" s="83" t="s">
        <v>88</v>
      </c>
      <c r="M9" s="84" t="s">
        <v>258</v>
      </c>
    </row>
    <row r="10" spans="1:18" ht="26.25" hidden="1" thickBot="1">
      <c r="A10" s="44" t="s">
        <v>198</v>
      </c>
      <c r="B10" s="45" t="str">
        <f t="shared" si="0"/>
        <v>122_0009</v>
      </c>
      <c r="C10" s="8" t="s">
        <v>305</v>
      </c>
      <c r="D10" s="62" t="s">
        <v>138</v>
      </c>
      <c r="E10" s="62" t="s">
        <v>103</v>
      </c>
      <c r="F10" s="70" t="s">
        <v>165</v>
      </c>
      <c r="G10" s="62"/>
      <c r="H10" s="77"/>
      <c r="I10" s="85" t="s">
        <v>31</v>
      </c>
      <c r="J10" s="85"/>
      <c r="K10" s="85" t="s">
        <v>26</v>
      </c>
      <c r="L10" s="83" t="s">
        <v>88</v>
      </c>
      <c r="M10" s="84" t="s">
        <v>258</v>
      </c>
    </row>
    <row r="11" spans="1:18" ht="26.25" hidden="1" thickBot="1">
      <c r="A11" s="44" t="s">
        <v>199</v>
      </c>
      <c r="B11" s="45" t="str">
        <f t="shared" si="0"/>
        <v>122_0010</v>
      </c>
      <c r="C11" s="8" t="s">
        <v>305</v>
      </c>
      <c r="D11" s="62" t="s">
        <v>40</v>
      </c>
      <c r="E11" s="62" t="s">
        <v>33</v>
      </c>
      <c r="F11" s="70" t="s">
        <v>64</v>
      </c>
      <c r="G11" s="62"/>
      <c r="H11" s="77"/>
      <c r="I11" s="85" t="s">
        <v>31</v>
      </c>
      <c r="J11" s="85"/>
      <c r="K11" s="85" t="s">
        <v>26</v>
      </c>
      <c r="L11" s="83" t="s">
        <v>88</v>
      </c>
      <c r="M11" s="84" t="s">
        <v>258</v>
      </c>
      <c r="N11" s="43"/>
    </row>
    <row r="12" spans="1:18" ht="26.25" hidden="1" thickBot="1">
      <c r="A12" s="44" t="s">
        <v>200</v>
      </c>
      <c r="B12" s="45" t="str">
        <f t="shared" si="0"/>
        <v>122_0011</v>
      </c>
      <c r="C12" s="7" t="s">
        <v>305</v>
      </c>
      <c r="D12" s="62" t="s">
        <v>41</v>
      </c>
      <c r="E12" s="62" t="s">
        <v>34</v>
      </c>
      <c r="F12" s="72" t="s">
        <v>65</v>
      </c>
      <c r="G12" s="62"/>
      <c r="H12" s="77"/>
      <c r="I12" s="85" t="s">
        <v>31</v>
      </c>
      <c r="J12" s="85"/>
      <c r="K12" s="85" t="s">
        <v>26</v>
      </c>
      <c r="L12" s="83" t="s">
        <v>88</v>
      </c>
      <c r="M12" s="84" t="s">
        <v>258</v>
      </c>
      <c r="N12" s="43"/>
    </row>
    <row r="13" spans="1:18" s="46" customFormat="1" ht="26.25" hidden="1" thickBot="1">
      <c r="A13" s="44" t="s">
        <v>201</v>
      </c>
      <c r="B13" s="45" t="str">
        <f t="shared" si="0"/>
        <v>122_0012</v>
      </c>
      <c r="C13" s="47" t="s">
        <v>305</v>
      </c>
      <c r="D13" s="62" t="s">
        <v>139</v>
      </c>
      <c r="E13" s="62" t="s">
        <v>104</v>
      </c>
      <c r="F13" s="70" t="s">
        <v>66</v>
      </c>
      <c r="G13" s="62"/>
      <c r="H13" s="77"/>
      <c r="I13" s="85" t="s">
        <v>31</v>
      </c>
      <c r="J13" s="85"/>
      <c r="K13" s="85" t="s">
        <v>26</v>
      </c>
      <c r="L13" s="83" t="s">
        <v>89</v>
      </c>
      <c r="M13" s="84" t="s">
        <v>258</v>
      </c>
      <c r="N13" s="43"/>
    </row>
    <row r="14" spans="1:18" s="46" customFormat="1" ht="26.25" hidden="1" thickBot="1">
      <c r="A14" s="44" t="s">
        <v>202</v>
      </c>
      <c r="B14" s="45" t="str">
        <f t="shared" si="0"/>
        <v>122_0013</v>
      </c>
      <c r="C14" s="47" t="s">
        <v>305</v>
      </c>
      <c r="D14" s="55" t="s">
        <v>42</v>
      </c>
      <c r="E14" s="62" t="s">
        <v>35</v>
      </c>
      <c r="F14" s="70" t="s">
        <v>67</v>
      </c>
      <c r="G14" s="62"/>
      <c r="H14" s="77"/>
      <c r="I14" s="85" t="s">
        <v>31</v>
      </c>
      <c r="J14" s="85"/>
      <c r="K14" s="85" t="s">
        <v>26</v>
      </c>
      <c r="L14" s="83" t="s">
        <v>89</v>
      </c>
      <c r="M14" s="84" t="s">
        <v>258</v>
      </c>
      <c r="N14" s="43"/>
    </row>
    <row r="15" spans="1:18" ht="26.25" hidden="1" thickBot="1">
      <c r="A15" s="44" t="s">
        <v>203</v>
      </c>
      <c r="B15" s="45" t="str">
        <f t="shared" si="0"/>
        <v>122_0014</v>
      </c>
      <c r="C15" s="7" t="s">
        <v>301</v>
      </c>
      <c r="D15" s="61" t="s">
        <v>140</v>
      </c>
      <c r="E15" s="118" t="s">
        <v>388</v>
      </c>
      <c r="F15" s="73" t="s">
        <v>166</v>
      </c>
      <c r="G15" s="62" t="s">
        <v>25</v>
      </c>
      <c r="H15" s="96" t="s">
        <v>259</v>
      </c>
      <c r="I15" s="85" t="s">
        <v>31</v>
      </c>
      <c r="J15" s="85"/>
      <c r="K15" s="85" t="s">
        <v>26</v>
      </c>
      <c r="L15" s="83" t="s">
        <v>88</v>
      </c>
      <c r="M15" s="84" t="s">
        <v>258</v>
      </c>
      <c r="N15" s="43"/>
    </row>
    <row r="16" spans="1:18" s="46" customFormat="1" ht="39" thickBot="1">
      <c r="A16" s="44" t="s">
        <v>204</v>
      </c>
      <c r="B16" s="45" t="str">
        <f t="shared" si="0"/>
        <v>122_0015</v>
      </c>
      <c r="C16" s="42" t="s">
        <v>305</v>
      </c>
      <c r="D16" s="97" t="s">
        <v>306</v>
      </c>
      <c r="E16" s="62" t="s">
        <v>389</v>
      </c>
      <c r="F16" s="74" t="s">
        <v>167</v>
      </c>
      <c r="G16" s="62" t="s">
        <v>25</v>
      </c>
      <c r="H16" s="76">
        <v>12.5</v>
      </c>
      <c r="I16" s="85" t="s">
        <v>31</v>
      </c>
      <c r="J16" s="88" t="s">
        <v>26</v>
      </c>
      <c r="K16" s="85"/>
      <c r="L16" s="83" t="s">
        <v>88</v>
      </c>
      <c r="M16" s="84" t="s">
        <v>307</v>
      </c>
      <c r="N16" s="43"/>
    </row>
    <row r="17" spans="1:14" ht="39" thickBot="1">
      <c r="A17" s="44" t="s">
        <v>205</v>
      </c>
      <c r="B17" s="45" t="str">
        <f t="shared" si="0"/>
        <v>122_0016</v>
      </c>
      <c r="C17" s="7" t="s">
        <v>305</v>
      </c>
      <c r="D17" s="97" t="s">
        <v>308</v>
      </c>
      <c r="E17" s="62" t="s">
        <v>263</v>
      </c>
      <c r="F17" s="73" t="s">
        <v>168</v>
      </c>
      <c r="G17" s="97" t="s">
        <v>86</v>
      </c>
      <c r="H17" s="98" t="s">
        <v>262</v>
      </c>
      <c r="I17" s="85" t="s">
        <v>31</v>
      </c>
      <c r="J17" s="88" t="s">
        <v>26</v>
      </c>
      <c r="K17" s="85"/>
      <c r="L17" s="83" t="s">
        <v>88</v>
      </c>
      <c r="M17" s="84" t="s">
        <v>311</v>
      </c>
      <c r="N17" s="43"/>
    </row>
    <row r="18" spans="1:14" ht="39" thickBot="1">
      <c r="A18" s="44" t="s">
        <v>206</v>
      </c>
      <c r="B18" s="45" t="str">
        <f t="shared" si="0"/>
        <v>122_0017</v>
      </c>
      <c r="C18" s="7" t="s">
        <v>270</v>
      </c>
      <c r="D18" s="97" t="s">
        <v>309</v>
      </c>
      <c r="E18" s="62" t="s">
        <v>105</v>
      </c>
      <c r="F18" s="70" t="s">
        <v>169</v>
      </c>
      <c r="G18" s="97" t="s">
        <v>267</v>
      </c>
      <c r="H18" s="77"/>
      <c r="I18" s="85" t="s">
        <v>31</v>
      </c>
      <c r="J18" s="87" t="s">
        <v>26</v>
      </c>
      <c r="K18" s="85"/>
      <c r="L18" s="83" t="s">
        <v>88</v>
      </c>
      <c r="M18" s="84" t="s">
        <v>310</v>
      </c>
      <c r="N18" s="43"/>
    </row>
    <row r="19" spans="1:14" ht="39" thickBot="1">
      <c r="A19" s="44" t="s">
        <v>207</v>
      </c>
      <c r="B19" s="45" t="str">
        <f t="shared" si="0"/>
        <v>122_0018</v>
      </c>
      <c r="C19" s="8" t="s">
        <v>270</v>
      </c>
      <c r="D19" s="62" t="s">
        <v>58</v>
      </c>
      <c r="E19" s="62" t="s">
        <v>106</v>
      </c>
      <c r="F19" s="70" t="s">
        <v>68</v>
      </c>
      <c r="G19" s="97" t="s">
        <v>267</v>
      </c>
      <c r="H19" s="77"/>
      <c r="I19" s="85" t="s">
        <v>31</v>
      </c>
      <c r="J19" s="82"/>
      <c r="K19" s="85"/>
      <c r="L19" s="83" t="s">
        <v>88</v>
      </c>
      <c r="M19" s="84" t="s">
        <v>268</v>
      </c>
      <c r="N19" s="43"/>
    </row>
    <row r="20" spans="1:14" ht="39" thickBot="1">
      <c r="A20" s="44" t="s">
        <v>208</v>
      </c>
      <c r="B20" s="45" t="str">
        <f t="shared" si="0"/>
        <v>122_0019</v>
      </c>
      <c r="C20" s="7" t="s">
        <v>270</v>
      </c>
      <c r="D20" s="62" t="s">
        <v>43</v>
      </c>
      <c r="E20" s="62" t="s">
        <v>312</v>
      </c>
      <c r="F20" s="70" t="s">
        <v>69</v>
      </c>
      <c r="G20" s="97" t="s">
        <v>25</v>
      </c>
      <c r="H20" s="98">
        <v>3</v>
      </c>
      <c r="I20" s="85" t="s">
        <v>31</v>
      </c>
      <c r="J20" s="82"/>
      <c r="K20" s="82"/>
      <c r="L20" s="83" t="s">
        <v>88</v>
      </c>
      <c r="M20" s="84"/>
      <c r="N20" s="43"/>
    </row>
    <row r="21" spans="1:14" ht="39" thickBot="1">
      <c r="A21" s="44" t="s">
        <v>209</v>
      </c>
      <c r="B21" s="45" t="str">
        <f t="shared" si="0"/>
        <v>122_0020</v>
      </c>
      <c r="C21" s="7" t="s">
        <v>270</v>
      </c>
      <c r="D21" s="62" t="s">
        <v>44</v>
      </c>
      <c r="E21" s="62" t="s">
        <v>313</v>
      </c>
      <c r="F21" s="70" t="s">
        <v>70</v>
      </c>
      <c r="G21" s="97" t="s">
        <v>25</v>
      </c>
      <c r="H21" s="98">
        <v>3</v>
      </c>
      <c r="I21" s="85" t="s">
        <v>31</v>
      </c>
      <c r="J21" s="82"/>
      <c r="K21" s="82"/>
      <c r="L21" s="83" t="s">
        <v>88</v>
      </c>
      <c r="M21" s="84"/>
      <c r="N21" s="43"/>
    </row>
    <row r="22" spans="1:14" ht="26.25" thickBot="1">
      <c r="A22" s="44" t="s">
        <v>210</v>
      </c>
      <c r="B22" s="45" t="str">
        <f t="shared" si="0"/>
        <v>122_0021</v>
      </c>
      <c r="C22" s="7" t="s">
        <v>301</v>
      </c>
      <c r="D22" s="97" t="s">
        <v>348</v>
      </c>
      <c r="E22" s="100" t="s">
        <v>269</v>
      </c>
      <c r="F22" s="109" t="s">
        <v>349</v>
      </c>
      <c r="G22" s="62" t="s">
        <v>25</v>
      </c>
      <c r="H22" s="99" t="s">
        <v>394</v>
      </c>
      <c r="I22" s="85" t="s">
        <v>31</v>
      </c>
      <c r="J22" s="82"/>
      <c r="K22" s="82"/>
      <c r="L22" s="83" t="s">
        <v>88</v>
      </c>
      <c r="M22" s="84" t="s">
        <v>272</v>
      </c>
      <c r="N22" s="43"/>
    </row>
    <row r="23" spans="1:14" ht="26.25" hidden="1" thickBot="1">
      <c r="A23" s="44" t="s">
        <v>211</v>
      </c>
      <c r="B23" s="45" t="str">
        <f t="shared" si="0"/>
        <v>122_0022</v>
      </c>
      <c r="C23" s="47" t="s">
        <v>305</v>
      </c>
      <c r="D23" s="62" t="s">
        <v>141</v>
      </c>
      <c r="E23" s="62" t="s">
        <v>107</v>
      </c>
      <c r="F23" s="70" t="s">
        <v>170</v>
      </c>
      <c r="G23" s="62" t="s">
        <v>25</v>
      </c>
      <c r="H23" s="96" t="s">
        <v>395</v>
      </c>
      <c r="I23" s="85" t="s">
        <v>31</v>
      </c>
      <c r="J23" s="82"/>
      <c r="K23" s="88" t="s">
        <v>26</v>
      </c>
      <c r="L23" s="83" t="s">
        <v>88</v>
      </c>
      <c r="M23" s="84" t="s">
        <v>258</v>
      </c>
      <c r="N23" s="43"/>
    </row>
    <row r="24" spans="1:14" ht="26.25" thickBot="1">
      <c r="A24" s="44" t="s">
        <v>212</v>
      </c>
      <c r="B24" s="45" t="str">
        <f t="shared" si="0"/>
        <v>122_0023</v>
      </c>
      <c r="C24" s="8" t="s">
        <v>305</v>
      </c>
      <c r="D24" s="62" t="s">
        <v>45</v>
      </c>
      <c r="E24" s="102" t="s">
        <v>271</v>
      </c>
      <c r="F24" s="70" t="s">
        <v>71</v>
      </c>
      <c r="G24" s="83" t="s">
        <v>265</v>
      </c>
      <c r="H24" s="119" t="s">
        <v>396</v>
      </c>
      <c r="I24" s="85" t="s">
        <v>31</v>
      </c>
      <c r="J24" s="82"/>
      <c r="K24" s="87"/>
      <c r="L24" s="83" t="s">
        <v>87</v>
      </c>
      <c r="M24" s="84" t="s">
        <v>264</v>
      </c>
      <c r="N24" s="43"/>
    </row>
    <row r="25" spans="1:14" ht="26.25" hidden="1" thickBot="1">
      <c r="A25" s="44" t="s">
        <v>213</v>
      </c>
      <c r="B25" s="45" t="str">
        <f t="shared" si="0"/>
        <v>122_0024</v>
      </c>
      <c r="C25" s="8" t="s">
        <v>301</v>
      </c>
      <c r="D25" s="55" t="s">
        <v>46</v>
      </c>
      <c r="E25" s="62" t="s">
        <v>108</v>
      </c>
      <c r="F25" s="70" t="s">
        <v>72</v>
      </c>
      <c r="G25" s="62"/>
      <c r="H25" s="77"/>
      <c r="I25" s="85" t="s">
        <v>31</v>
      </c>
      <c r="J25" s="82"/>
      <c r="K25" s="87" t="s">
        <v>26</v>
      </c>
      <c r="L25" s="83" t="s">
        <v>88</v>
      </c>
      <c r="M25" s="84" t="s">
        <v>258</v>
      </c>
      <c r="N25" s="43"/>
    </row>
    <row r="26" spans="1:14" ht="26.25" hidden="1" thickBot="1">
      <c r="A26" s="44" t="s">
        <v>214</v>
      </c>
      <c r="B26" s="45" t="str">
        <f t="shared" si="0"/>
        <v>122_0025</v>
      </c>
      <c r="C26" s="8" t="s">
        <v>301</v>
      </c>
      <c r="D26" s="61" t="s">
        <v>142</v>
      </c>
      <c r="E26" s="62" t="s">
        <v>109</v>
      </c>
      <c r="F26" s="70" t="s">
        <v>171</v>
      </c>
      <c r="G26" s="62"/>
      <c r="H26" s="77"/>
      <c r="I26" s="85" t="s">
        <v>31</v>
      </c>
      <c r="J26" s="82"/>
      <c r="K26" s="82" t="s">
        <v>26</v>
      </c>
      <c r="L26" s="83" t="s">
        <v>88</v>
      </c>
      <c r="M26" s="84" t="s">
        <v>258</v>
      </c>
      <c r="N26" s="43"/>
    </row>
    <row r="27" spans="1:14" ht="39" hidden="1" thickBot="1">
      <c r="A27" s="44" t="s">
        <v>215</v>
      </c>
      <c r="B27" s="45" t="str">
        <f t="shared" si="0"/>
        <v>122_0026</v>
      </c>
      <c r="C27" s="8" t="s">
        <v>305</v>
      </c>
      <c r="D27" s="62" t="s">
        <v>143</v>
      </c>
      <c r="E27" s="62" t="s">
        <v>110</v>
      </c>
      <c r="F27" s="70" t="s">
        <v>73</v>
      </c>
      <c r="G27" s="62"/>
      <c r="H27" s="77"/>
      <c r="I27" s="85" t="s">
        <v>31</v>
      </c>
      <c r="J27" s="82"/>
      <c r="K27" s="82" t="s">
        <v>26</v>
      </c>
      <c r="L27" s="83" t="s">
        <v>88</v>
      </c>
      <c r="M27" s="84" t="s">
        <v>258</v>
      </c>
      <c r="N27" s="43"/>
    </row>
    <row r="28" spans="1:14" ht="26.25" thickBot="1">
      <c r="A28" s="44" t="s">
        <v>216</v>
      </c>
      <c r="B28" s="45" t="str">
        <f t="shared" si="0"/>
        <v>122_0027</v>
      </c>
      <c r="C28" s="7" t="s">
        <v>270</v>
      </c>
      <c r="D28" s="62" t="s">
        <v>350</v>
      </c>
      <c r="E28" s="62" t="s">
        <v>351</v>
      </c>
      <c r="F28" s="101" t="s">
        <v>352</v>
      </c>
      <c r="G28" s="62" t="s">
        <v>25</v>
      </c>
      <c r="H28" s="99">
        <v>12.9</v>
      </c>
      <c r="I28" s="85" t="s">
        <v>31</v>
      </c>
      <c r="J28" s="82"/>
      <c r="K28" s="82"/>
      <c r="L28" s="83" t="s">
        <v>87</v>
      </c>
      <c r="M28" s="84" t="s">
        <v>264</v>
      </c>
      <c r="N28" s="43"/>
    </row>
    <row r="29" spans="1:14" ht="13.5" thickBot="1">
      <c r="A29" s="44" t="s">
        <v>217</v>
      </c>
      <c r="B29" s="45" t="str">
        <f t="shared" si="0"/>
        <v>122_0028</v>
      </c>
      <c r="C29" s="8" t="s">
        <v>270</v>
      </c>
      <c r="D29" s="62" t="s">
        <v>47</v>
      </c>
      <c r="E29" s="62" t="s">
        <v>36</v>
      </c>
      <c r="F29" s="70" t="s">
        <v>74</v>
      </c>
      <c r="G29" s="61" t="s">
        <v>25</v>
      </c>
      <c r="H29" s="99">
        <v>12.1</v>
      </c>
      <c r="I29" s="85" t="s">
        <v>31</v>
      </c>
      <c r="J29" s="82"/>
      <c r="K29" s="82"/>
      <c r="L29" s="83" t="s">
        <v>88</v>
      </c>
      <c r="M29" s="84" t="s">
        <v>264</v>
      </c>
      <c r="N29" s="43"/>
    </row>
    <row r="30" spans="1:14" s="46" customFormat="1" ht="26.25" hidden="1" thickBot="1">
      <c r="A30" s="44" t="s">
        <v>218</v>
      </c>
      <c r="B30" s="45" t="str">
        <f t="shared" si="0"/>
        <v>122_0029</v>
      </c>
      <c r="C30" s="42" t="s">
        <v>305</v>
      </c>
      <c r="D30" s="55" t="s">
        <v>48</v>
      </c>
      <c r="E30" s="62" t="s">
        <v>37</v>
      </c>
      <c r="F30" s="70" t="s">
        <v>75</v>
      </c>
      <c r="G30" s="62" t="s">
        <v>25</v>
      </c>
      <c r="H30" s="77">
        <v>4.2</v>
      </c>
      <c r="I30" s="85" t="s">
        <v>31</v>
      </c>
      <c r="J30" s="82"/>
      <c r="K30" s="88" t="s">
        <v>26</v>
      </c>
      <c r="L30" s="83" t="s">
        <v>88</v>
      </c>
      <c r="M30" s="84" t="s">
        <v>358</v>
      </c>
      <c r="N30" s="43"/>
    </row>
    <row r="31" spans="1:14" s="46" customFormat="1" ht="39" thickBot="1">
      <c r="A31" s="44" t="s">
        <v>219</v>
      </c>
      <c r="B31" s="45" t="str">
        <f t="shared" si="0"/>
        <v>122_0030</v>
      </c>
      <c r="C31" s="110" t="s">
        <v>270</v>
      </c>
      <c r="D31" s="63" t="s">
        <v>144</v>
      </c>
      <c r="E31" s="62" t="s">
        <v>111</v>
      </c>
      <c r="F31" s="70" t="s">
        <v>172</v>
      </c>
      <c r="G31" s="120" t="s">
        <v>86</v>
      </c>
      <c r="H31" s="119" t="s">
        <v>397</v>
      </c>
      <c r="I31" s="85" t="s">
        <v>31</v>
      </c>
      <c r="J31" s="82"/>
      <c r="K31" s="82"/>
      <c r="L31" s="83" t="s">
        <v>88</v>
      </c>
      <c r="M31" s="84" t="s">
        <v>353</v>
      </c>
      <c r="N31" s="43"/>
    </row>
    <row r="32" spans="1:14" ht="26.25" hidden="1" thickBot="1">
      <c r="A32" s="44" t="s">
        <v>220</v>
      </c>
      <c r="B32" s="45" t="str">
        <f t="shared" si="0"/>
        <v>122_0031</v>
      </c>
      <c r="C32" s="8" t="s">
        <v>305</v>
      </c>
      <c r="D32" s="97" t="s">
        <v>354</v>
      </c>
      <c r="E32" s="97" t="s">
        <v>355</v>
      </c>
      <c r="F32" s="106" t="s">
        <v>356</v>
      </c>
      <c r="G32" s="62"/>
      <c r="H32" s="78"/>
      <c r="I32" s="82" t="s">
        <v>31</v>
      </c>
      <c r="J32" s="82"/>
      <c r="K32" s="88" t="s">
        <v>26</v>
      </c>
      <c r="L32" s="83" t="s">
        <v>88</v>
      </c>
      <c r="M32" s="5" t="s">
        <v>357</v>
      </c>
      <c r="N32" s="43"/>
    </row>
    <row r="33" spans="1:14" ht="26.25" hidden="1" thickBot="1">
      <c r="A33" s="44" t="s">
        <v>221</v>
      </c>
      <c r="B33" s="45" t="str">
        <f t="shared" si="0"/>
        <v>122_0032</v>
      </c>
      <c r="C33" s="7" t="s">
        <v>305</v>
      </c>
      <c r="D33" s="64" t="s">
        <v>145</v>
      </c>
      <c r="E33" s="62" t="s">
        <v>112</v>
      </c>
      <c r="F33" s="75" t="s">
        <v>173</v>
      </c>
      <c r="G33" s="62"/>
      <c r="H33" s="79"/>
      <c r="I33" s="82" t="s">
        <v>31</v>
      </c>
      <c r="J33" s="82"/>
      <c r="K33" s="88" t="s">
        <v>26</v>
      </c>
      <c r="L33" s="83" t="s">
        <v>88</v>
      </c>
      <c r="M33" s="5" t="s">
        <v>357</v>
      </c>
    </row>
    <row r="34" spans="1:14" ht="26.25" thickBot="1">
      <c r="A34" s="44" t="s">
        <v>222</v>
      </c>
      <c r="B34" s="45" t="str">
        <f t="shared" si="0"/>
        <v>122_0033</v>
      </c>
      <c r="C34" s="7" t="s">
        <v>270</v>
      </c>
      <c r="D34" s="57" t="s">
        <v>49</v>
      </c>
      <c r="E34" s="62" t="s">
        <v>274</v>
      </c>
      <c r="F34" s="75" t="s">
        <v>76</v>
      </c>
      <c r="G34" s="121" t="s">
        <v>25</v>
      </c>
      <c r="H34" s="116" t="s">
        <v>398</v>
      </c>
      <c r="I34" s="82" t="s">
        <v>31</v>
      </c>
      <c r="J34" s="87" t="s">
        <v>26</v>
      </c>
      <c r="K34" s="85"/>
      <c r="L34" s="83" t="s">
        <v>88</v>
      </c>
      <c r="M34" s="84" t="s">
        <v>275</v>
      </c>
      <c r="N34" s="43"/>
    </row>
    <row r="35" spans="1:14" ht="39" thickBot="1">
      <c r="A35" s="44" t="s">
        <v>223</v>
      </c>
      <c r="B35" s="45" t="str">
        <f t="shared" si="0"/>
        <v>122_0034</v>
      </c>
      <c r="C35" s="7" t="s">
        <v>270</v>
      </c>
      <c r="D35" s="57" t="s">
        <v>146</v>
      </c>
      <c r="E35" s="62" t="s">
        <v>276</v>
      </c>
      <c r="F35" s="75" t="s">
        <v>77</v>
      </c>
      <c r="G35" s="122" t="s">
        <v>86</v>
      </c>
      <c r="H35" s="116" t="s">
        <v>399</v>
      </c>
      <c r="I35" s="82" t="s">
        <v>31</v>
      </c>
      <c r="J35" s="82"/>
      <c r="K35" s="85"/>
      <c r="L35" s="83" t="s">
        <v>88</v>
      </c>
      <c r="M35" s="84" t="s">
        <v>277</v>
      </c>
    </row>
    <row r="36" spans="1:14" ht="51.75" thickBot="1">
      <c r="A36" s="44" t="s">
        <v>224</v>
      </c>
      <c r="B36" s="45" t="str">
        <f t="shared" si="0"/>
        <v>122_0035</v>
      </c>
      <c r="C36" s="7" t="s">
        <v>270</v>
      </c>
      <c r="D36" s="61" t="s">
        <v>147</v>
      </c>
      <c r="E36" s="62" t="s">
        <v>365</v>
      </c>
      <c r="F36" s="75" t="s">
        <v>78</v>
      </c>
      <c r="G36" s="97" t="s">
        <v>86</v>
      </c>
      <c r="H36" s="103" t="s">
        <v>400</v>
      </c>
      <c r="I36" s="82" t="s">
        <v>31</v>
      </c>
      <c r="J36" s="82"/>
      <c r="K36" s="85"/>
      <c r="L36" s="83" t="s">
        <v>88</v>
      </c>
      <c r="M36" s="84" t="s">
        <v>277</v>
      </c>
    </row>
    <row r="37" spans="1:14" ht="26.25" hidden="1" thickBot="1">
      <c r="A37" s="44" t="s">
        <v>225</v>
      </c>
      <c r="B37" s="45" t="str">
        <f t="shared" si="0"/>
        <v>122_0036</v>
      </c>
      <c r="C37" s="7" t="s">
        <v>305</v>
      </c>
      <c r="D37" s="61" t="s">
        <v>148</v>
      </c>
      <c r="E37" s="62" t="s">
        <v>113</v>
      </c>
      <c r="F37" s="75" t="s">
        <v>79</v>
      </c>
      <c r="G37" s="62" t="s">
        <v>25</v>
      </c>
      <c r="H37" s="76">
        <v>13.1</v>
      </c>
      <c r="I37" s="82" t="s">
        <v>31</v>
      </c>
      <c r="J37" s="82"/>
      <c r="K37" s="88" t="s">
        <v>26</v>
      </c>
      <c r="L37" s="83" t="s">
        <v>87</v>
      </c>
      <c r="M37" s="84" t="s">
        <v>278</v>
      </c>
      <c r="N37" s="43"/>
    </row>
    <row r="38" spans="1:14" ht="26.25" thickBot="1">
      <c r="A38" s="44" t="s">
        <v>226</v>
      </c>
      <c r="B38" s="45" t="str">
        <f t="shared" si="0"/>
        <v>122_0037</v>
      </c>
      <c r="C38" s="7" t="s">
        <v>301</v>
      </c>
      <c r="D38" s="61" t="s">
        <v>149</v>
      </c>
      <c r="E38" s="62" t="s">
        <v>114</v>
      </c>
      <c r="F38" s="75" t="s">
        <v>174</v>
      </c>
      <c r="G38" s="62" t="s">
        <v>25</v>
      </c>
      <c r="H38" s="99">
        <v>13.1</v>
      </c>
      <c r="I38" s="82" t="s">
        <v>31</v>
      </c>
      <c r="J38" s="82"/>
      <c r="K38" s="82"/>
      <c r="L38" s="83" t="s">
        <v>88</v>
      </c>
      <c r="M38" s="84"/>
      <c r="N38" s="43"/>
    </row>
    <row r="39" spans="1:14" ht="26.25" thickBot="1">
      <c r="A39" s="44" t="s">
        <v>227</v>
      </c>
      <c r="B39" s="45" t="str">
        <f t="shared" si="0"/>
        <v>122_0038</v>
      </c>
      <c r="C39" s="7" t="s">
        <v>301</v>
      </c>
      <c r="D39" s="65" t="s">
        <v>150</v>
      </c>
      <c r="E39" s="65" t="s">
        <v>115</v>
      </c>
      <c r="F39" s="112" t="s">
        <v>175</v>
      </c>
      <c r="G39" s="65" t="s">
        <v>25</v>
      </c>
      <c r="H39" s="99">
        <v>13.1</v>
      </c>
      <c r="I39" s="82" t="s">
        <v>31</v>
      </c>
      <c r="J39" s="82"/>
      <c r="K39" s="82"/>
      <c r="L39" s="83" t="s">
        <v>88</v>
      </c>
      <c r="M39" s="124"/>
      <c r="N39" s="43"/>
    </row>
    <row r="40" spans="1:14" ht="39" thickBot="1">
      <c r="A40" s="44" t="s">
        <v>228</v>
      </c>
      <c r="B40" s="45" t="str">
        <f t="shared" si="0"/>
        <v>122_0039</v>
      </c>
      <c r="C40" s="111" t="s">
        <v>301</v>
      </c>
      <c r="D40" s="114" t="s">
        <v>359</v>
      </c>
      <c r="E40" s="114" t="s">
        <v>361</v>
      </c>
      <c r="F40" s="114" t="s">
        <v>79</v>
      </c>
      <c r="G40" s="115" t="s">
        <v>25</v>
      </c>
      <c r="H40" s="99">
        <v>14.1</v>
      </c>
      <c r="I40" s="82" t="s">
        <v>31</v>
      </c>
      <c r="J40" s="87" t="s">
        <v>26</v>
      </c>
      <c r="K40" s="82"/>
      <c r="L40" s="83" t="s">
        <v>88</v>
      </c>
      <c r="M40" s="84" t="s">
        <v>360</v>
      </c>
      <c r="N40" s="43"/>
    </row>
    <row r="41" spans="1:14" ht="26.25" thickBot="1">
      <c r="A41" s="44" t="s">
        <v>229</v>
      </c>
      <c r="B41" s="45" t="str">
        <f t="shared" si="0"/>
        <v>122_0040</v>
      </c>
      <c r="C41" s="7" t="s">
        <v>305</v>
      </c>
      <c r="D41" s="62" t="s">
        <v>151</v>
      </c>
      <c r="E41" s="62" t="s">
        <v>116</v>
      </c>
      <c r="F41" s="113" t="s">
        <v>80</v>
      </c>
      <c r="G41" s="83" t="s">
        <v>265</v>
      </c>
      <c r="H41" s="119" t="s">
        <v>401</v>
      </c>
      <c r="I41" s="82" t="s">
        <v>31</v>
      </c>
      <c r="J41" s="82"/>
      <c r="K41" s="82"/>
      <c r="L41" s="83" t="s">
        <v>88</v>
      </c>
      <c r="M41" s="84" t="s">
        <v>280</v>
      </c>
      <c r="N41" s="43"/>
    </row>
    <row r="42" spans="1:14" ht="39" hidden="1" thickBot="1">
      <c r="A42" s="44" t="s">
        <v>230</v>
      </c>
      <c r="B42" s="45" t="str">
        <f t="shared" si="0"/>
        <v>122_0041</v>
      </c>
      <c r="C42" s="7" t="s">
        <v>305</v>
      </c>
      <c r="D42" s="62" t="s">
        <v>152</v>
      </c>
      <c r="E42" s="62" t="s">
        <v>117</v>
      </c>
      <c r="F42" s="75" t="s">
        <v>176</v>
      </c>
      <c r="G42" s="62" t="s">
        <v>25</v>
      </c>
      <c r="H42" s="96" t="s">
        <v>260</v>
      </c>
      <c r="I42" s="82" t="s">
        <v>31</v>
      </c>
      <c r="J42" s="82"/>
      <c r="K42" s="87" t="s">
        <v>26</v>
      </c>
      <c r="L42" s="83" t="s">
        <v>88</v>
      </c>
      <c r="M42" s="84" t="s">
        <v>258</v>
      </c>
      <c r="N42" s="43"/>
    </row>
    <row r="43" spans="1:14" ht="39" hidden="1" thickBot="1">
      <c r="A43" s="44" t="s">
        <v>231</v>
      </c>
      <c r="B43" s="45" t="str">
        <f t="shared" si="0"/>
        <v>122_0042</v>
      </c>
      <c r="C43" s="7" t="s">
        <v>305</v>
      </c>
      <c r="D43" s="62" t="s">
        <v>153</v>
      </c>
      <c r="E43" s="62" t="s">
        <v>118</v>
      </c>
      <c r="F43" s="75" t="s">
        <v>177</v>
      </c>
      <c r="G43" s="62" t="s">
        <v>25</v>
      </c>
      <c r="H43" s="76" t="s">
        <v>256</v>
      </c>
      <c r="I43" s="82" t="s">
        <v>31</v>
      </c>
      <c r="J43" s="82"/>
      <c r="K43" s="82" t="s">
        <v>26</v>
      </c>
      <c r="L43" s="83" t="s">
        <v>88</v>
      </c>
      <c r="M43" s="84" t="s">
        <v>258</v>
      </c>
      <c r="N43" s="43"/>
    </row>
    <row r="44" spans="1:14" ht="39" hidden="1" thickBot="1">
      <c r="A44" s="44" t="s">
        <v>232</v>
      </c>
      <c r="B44" s="45" t="str">
        <f t="shared" si="0"/>
        <v>122_0043</v>
      </c>
      <c r="C44" s="7" t="s">
        <v>305</v>
      </c>
      <c r="D44" s="62" t="s">
        <v>154</v>
      </c>
      <c r="E44" s="62" t="s">
        <v>119</v>
      </c>
      <c r="F44" s="75" t="s">
        <v>178</v>
      </c>
      <c r="G44" s="62" t="s">
        <v>25</v>
      </c>
      <c r="H44" s="76" t="s">
        <v>257</v>
      </c>
      <c r="I44" s="82" t="s">
        <v>31</v>
      </c>
      <c r="J44" s="82"/>
      <c r="K44" s="82" t="s">
        <v>26</v>
      </c>
      <c r="L44" s="83" t="s">
        <v>88</v>
      </c>
      <c r="M44" s="84" t="s">
        <v>258</v>
      </c>
      <c r="N44" s="43"/>
    </row>
    <row r="45" spans="1:14" ht="26.25" thickBot="1">
      <c r="A45" s="44" t="s">
        <v>233</v>
      </c>
      <c r="B45" s="45" t="str">
        <f t="shared" si="0"/>
        <v>122_0044</v>
      </c>
      <c r="C45" s="7" t="s">
        <v>305</v>
      </c>
      <c r="D45" s="62" t="s">
        <v>362</v>
      </c>
      <c r="E45" s="62" t="s">
        <v>363</v>
      </c>
      <c r="F45" s="75" t="s">
        <v>81</v>
      </c>
      <c r="G45" s="121" t="s">
        <v>86</v>
      </c>
      <c r="H45" s="116" t="s">
        <v>397</v>
      </c>
      <c r="I45" s="82" t="s">
        <v>31</v>
      </c>
      <c r="J45" s="82"/>
      <c r="K45" s="82"/>
      <c r="L45" s="83" t="s">
        <v>88</v>
      </c>
      <c r="M45" s="84" t="s">
        <v>273</v>
      </c>
    </row>
    <row r="46" spans="1:14" ht="26.25" thickBot="1">
      <c r="A46" s="44" t="s">
        <v>234</v>
      </c>
      <c r="B46" s="45" t="str">
        <f t="shared" si="0"/>
        <v>122_0045</v>
      </c>
      <c r="C46" s="7" t="s">
        <v>305</v>
      </c>
      <c r="D46" s="62" t="s">
        <v>155</v>
      </c>
      <c r="E46" s="62" t="s">
        <v>120</v>
      </c>
      <c r="F46" s="75" t="s">
        <v>179</v>
      </c>
      <c r="G46" s="83" t="s">
        <v>265</v>
      </c>
      <c r="H46" s="119" t="s">
        <v>402</v>
      </c>
      <c r="I46" s="82" t="s">
        <v>31</v>
      </c>
      <c r="J46" s="82"/>
      <c r="K46" s="82"/>
      <c r="L46" s="86" t="s">
        <v>88</v>
      </c>
      <c r="M46" s="84" t="s">
        <v>273</v>
      </c>
    </row>
    <row r="47" spans="1:14" ht="26.25" thickBot="1">
      <c r="A47" s="44" t="s">
        <v>235</v>
      </c>
      <c r="B47" s="45" t="str">
        <f t="shared" si="0"/>
        <v>122_0046</v>
      </c>
      <c r="C47" s="7" t="s">
        <v>305</v>
      </c>
      <c r="D47" s="62" t="s">
        <v>50</v>
      </c>
      <c r="E47" s="62" t="s">
        <v>38</v>
      </c>
      <c r="F47" s="75" t="s">
        <v>82</v>
      </c>
      <c r="G47" s="62" t="s">
        <v>267</v>
      </c>
      <c r="H47" s="79"/>
      <c r="I47" s="82" t="s">
        <v>31</v>
      </c>
      <c r="J47" s="82"/>
      <c r="K47" s="82"/>
      <c r="L47" s="86" t="s">
        <v>88</v>
      </c>
      <c r="M47" s="84" t="s">
        <v>273</v>
      </c>
    </row>
    <row r="48" spans="1:14" ht="26.25" thickBot="1">
      <c r="A48" s="44" t="s">
        <v>236</v>
      </c>
      <c r="B48" s="45" t="str">
        <f t="shared" si="0"/>
        <v>122_0047</v>
      </c>
      <c r="C48" s="7" t="s">
        <v>305</v>
      </c>
      <c r="D48" s="62" t="s">
        <v>51</v>
      </c>
      <c r="E48" s="62" t="s">
        <v>121</v>
      </c>
      <c r="F48" s="75" t="s">
        <v>84</v>
      </c>
      <c r="G48" s="62" t="s">
        <v>86</v>
      </c>
      <c r="H48" s="98" t="s">
        <v>281</v>
      </c>
      <c r="I48" s="82" t="s">
        <v>31</v>
      </c>
      <c r="J48" s="82"/>
      <c r="K48" s="82"/>
      <c r="L48" s="86" t="s">
        <v>88</v>
      </c>
      <c r="M48" s="84" t="s">
        <v>282</v>
      </c>
    </row>
    <row r="49" spans="1:14" ht="39" thickBot="1">
      <c r="A49" s="44" t="s">
        <v>237</v>
      </c>
      <c r="B49" s="45" t="str">
        <f t="shared" si="0"/>
        <v>122_0048</v>
      </c>
      <c r="C49" s="7" t="s">
        <v>305</v>
      </c>
      <c r="D49" s="62" t="s">
        <v>52</v>
      </c>
      <c r="E49" s="62" t="s">
        <v>122</v>
      </c>
      <c r="F49" s="75" t="s">
        <v>85</v>
      </c>
      <c r="G49" s="97" t="s">
        <v>86</v>
      </c>
      <c r="H49" s="103" t="s">
        <v>403</v>
      </c>
      <c r="I49" s="82" t="s">
        <v>31</v>
      </c>
      <c r="J49" s="82"/>
      <c r="K49" s="82"/>
      <c r="L49" s="86" t="s">
        <v>88</v>
      </c>
      <c r="M49" s="84" t="s">
        <v>283</v>
      </c>
    </row>
    <row r="50" spans="1:14" ht="51.75" thickBot="1">
      <c r="A50" s="44" t="s">
        <v>238</v>
      </c>
      <c r="B50" s="45" t="str">
        <f t="shared" si="0"/>
        <v>122_0049</v>
      </c>
      <c r="C50" s="7" t="s">
        <v>270</v>
      </c>
      <c r="D50" s="62" t="s">
        <v>156</v>
      </c>
      <c r="E50" s="62" t="s">
        <v>123</v>
      </c>
      <c r="F50" s="75" t="s">
        <v>180</v>
      </c>
      <c r="G50" s="97" t="s">
        <v>86</v>
      </c>
      <c r="H50" s="103" t="s">
        <v>404</v>
      </c>
      <c r="I50" s="82" t="s">
        <v>31</v>
      </c>
      <c r="J50" s="82"/>
      <c r="K50" s="82"/>
      <c r="L50" s="86" t="s">
        <v>88</v>
      </c>
      <c r="M50" s="88" t="s">
        <v>405</v>
      </c>
    </row>
    <row r="51" spans="1:14" ht="26.25" thickBot="1">
      <c r="A51" s="44" t="s">
        <v>239</v>
      </c>
      <c r="B51" s="45" t="str">
        <f t="shared" si="0"/>
        <v>122_0050</v>
      </c>
      <c r="C51" s="7" t="s">
        <v>270</v>
      </c>
      <c r="D51" s="62" t="s">
        <v>53</v>
      </c>
      <c r="E51" s="62" t="s">
        <v>124</v>
      </c>
      <c r="F51" s="75" t="s">
        <v>83</v>
      </c>
      <c r="G51" s="97" t="s">
        <v>86</v>
      </c>
      <c r="H51" s="98" t="s">
        <v>291</v>
      </c>
      <c r="I51" s="82" t="s">
        <v>31</v>
      </c>
      <c r="J51" s="82"/>
      <c r="K51" s="85"/>
      <c r="L51" s="86" t="s">
        <v>88</v>
      </c>
      <c r="M51" s="84"/>
    </row>
    <row r="52" spans="1:14" ht="39" hidden="1" thickBot="1">
      <c r="A52" s="44" t="s">
        <v>240</v>
      </c>
      <c r="B52" s="45" t="str">
        <f t="shared" si="0"/>
        <v>122_0051</v>
      </c>
      <c r="C52" s="7" t="s">
        <v>270</v>
      </c>
      <c r="D52" s="62" t="s">
        <v>59</v>
      </c>
      <c r="E52" s="62" t="s">
        <v>125</v>
      </c>
      <c r="F52" s="75" t="s">
        <v>181</v>
      </c>
      <c r="G52" s="62"/>
      <c r="H52" s="77"/>
      <c r="I52" s="82" t="s">
        <v>31</v>
      </c>
      <c r="J52" s="82"/>
      <c r="K52" s="87" t="s">
        <v>26</v>
      </c>
      <c r="L52" s="86" t="s">
        <v>88</v>
      </c>
      <c r="M52" s="84" t="s">
        <v>284</v>
      </c>
    </row>
    <row r="53" spans="1:14" ht="39" thickBot="1">
      <c r="A53" s="44" t="s">
        <v>241</v>
      </c>
      <c r="B53" s="45" t="str">
        <f t="shared" si="0"/>
        <v>122_0052</v>
      </c>
      <c r="C53" s="7" t="s">
        <v>305</v>
      </c>
      <c r="D53" s="62" t="s">
        <v>157</v>
      </c>
      <c r="E53" s="62" t="s">
        <v>126</v>
      </c>
      <c r="F53" s="75" t="s">
        <v>182</v>
      </c>
      <c r="G53" s="97" t="s">
        <v>86</v>
      </c>
      <c r="H53" s="103" t="s">
        <v>406</v>
      </c>
      <c r="I53" s="82" t="s">
        <v>31</v>
      </c>
      <c r="J53" s="82"/>
      <c r="K53" s="82"/>
      <c r="L53" s="86" t="s">
        <v>88</v>
      </c>
      <c r="M53" s="84"/>
    </row>
    <row r="54" spans="1:14" ht="26.25" thickBot="1">
      <c r="A54" s="44" t="s">
        <v>242</v>
      </c>
      <c r="B54" s="45" t="str">
        <f t="shared" si="0"/>
        <v>122_0053</v>
      </c>
      <c r="C54" s="7" t="s">
        <v>305</v>
      </c>
      <c r="D54" s="62" t="s">
        <v>54</v>
      </c>
      <c r="E54" s="62" t="s">
        <v>127</v>
      </c>
      <c r="F54" s="75" t="s">
        <v>183</v>
      </c>
      <c r="G54" s="97" t="s">
        <v>86</v>
      </c>
      <c r="H54" s="98" t="s">
        <v>407</v>
      </c>
      <c r="I54" s="82" t="s">
        <v>31</v>
      </c>
      <c r="J54" s="82"/>
      <c r="K54" s="82"/>
      <c r="L54" s="86" t="s">
        <v>88</v>
      </c>
      <c r="M54" s="84" t="s">
        <v>285</v>
      </c>
    </row>
    <row r="55" spans="1:14" ht="26.25" thickBot="1">
      <c r="A55" s="44" t="s">
        <v>243</v>
      </c>
      <c r="B55" s="45" t="str">
        <f t="shared" si="0"/>
        <v>122_0054</v>
      </c>
      <c r="C55" s="7" t="s">
        <v>305</v>
      </c>
      <c r="D55" s="62" t="s">
        <v>55</v>
      </c>
      <c r="E55" s="62" t="s">
        <v>128</v>
      </c>
      <c r="F55" s="75" t="s">
        <v>184</v>
      </c>
      <c r="G55" s="97" t="s">
        <v>86</v>
      </c>
      <c r="H55" s="103">
        <v>10.6</v>
      </c>
      <c r="I55" s="82" t="s">
        <v>31</v>
      </c>
      <c r="J55" s="82"/>
      <c r="K55" s="82"/>
      <c r="L55" s="86" t="s">
        <v>88</v>
      </c>
      <c r="M55" s="84" t="s">
        <v>285</v>
      </c>
    </row>
    <row r="56" spans="1:14" ht="26.25" thickBot="1">
      <c r="A56" s="44" t="s">
        <v>244</v>
      </c>
      <c r="B56" s="45" t="str">
        <f t="shared" si="0"/>
        <v>122_0055</v>
      </c>
      <c r="C56" s="7" t="s">
        <v>305</v>
      </c>
      <c r="D56" s="62" t="s">
        <v>56</v>
      </c>
      <c r="E56" s="62" t="s">
        <v>129</v>
      </c>
      <c r="F56" s="75" t="s">
        <v>185</v>
      </c>
      <c r="G56" s="97" t="s">
        <v>265</v>
      </c>
      <c r="H56" s="103" t="s">
        <v>408</v>
      </c>
      <c r="I56" s="82" t="s">
        <v>31</v>
      </c>
      <c r="J56" s="82"/>
      <c r="K56" s="82"/>
      <c r="L56" s="86" t="s">
        <v>88</v>
      </c>
      <c r="M56" s="84" t="s">
        <v>294</v>
      </c>
    </row>
    <row r="57" spans="1:14" ht="39" thickBot="1">
      <c r="A57" s="44" t="s">
        <v>245</v>
      </c>
      <c r="B57" s="45" t="str">
        <f t="shared" si="0"/>
        <v>122_0056</v>
      </c>
      <c r="C57" s="7" t="s">
        <v>305</v>
      </c>
      <c r="D57" s="62" t="s">
        <v>57</v>
      </c>
      <c r="E57" s="62" t="s">
        <v>130</v>
      </c>
      <c r="F57" s="75" t="s">
        <v>186</v>
      </c>
      <c r="G57" s="97" t="s">
        <v>86</v>
      </c>
      <c r="H57" s="103" t="s">
        <v>286</v>
      </c>
      <c r="I57" s="82" t="s">
        <v>31</v>
      </c>
      <c r="J57" s="82"/>
      <c r="K57" s="82"/>
      <c r="L57" s="86" t="s">
        <v>87</v>
      </c>
      <c r="M57" s="84" t="s">
        <v>287</v>
      </c>
    </row>
    <row r="58" spans="1:14" ht="26.25" hidden="1" thickBot="1">
      <c r="A58" s="44" t="s">
        <v>246</v>
      </c>
      <c r="B58" s="45" t="str">
        <f t="shared" si="0"/>
        <v>122_0057</v>
      </c>
      <c r="C58" s="7" t="s">
        <v>270</v>
      </c>
      <c r="D58" s="62" t="s">
        <v>158</v>
      </c>
      <c r="E58" s="62" t="s">
        <v>391</v>
      </c>
      <c r="F58" s="104" t="s">
        <v>390</v>
      </c>
      <c r="G58" s="62" t="s">
        <v>25</v>
      </c>
      <c r="H58" s="76" t="s">
        <v>254</v>
      </c>
      <c r="I58" s="82" t="s">
        <v>31</v>
      </c>
      <c r="J58" s="82"/>
      <c r="K58" s="82" t="s">
        <v>26</v>
      </c>
      <c r="L58" s="86" t="s">
        <v>253</v>
      </c>
      <c r="M58" s="84" t="s">
        <v>258</v>
      </c>
      <c r="N58" s="43"/>
    </row>
    <row r="59" spans="1:14" ht="39" hidden="1" thickBot="1">
      <c r="A59" s="44" t="s">
        <v>247</v>
      </c>
      <c r="B59" s="45" t="str">
        <f t="shared" si="0"/>
        <v>122_0058</v>
      </c>
      <c r="C59" s="7" t="s">
        <v>305</v>
      </c>
      <c r="D59" s="61" t="s">
        <v>159</v>
      </c>
      <c r="E59" s="62" t="s">
        <v>131</v>
      </c>
      <c r="F59" s="75" t="s">
        <v>187</v>
      </c>
      <c r="G59" s="62"/>
      <c r="H59" s="77"/>
      <c r="I59" s="82" t="s">
        <v>31</v>
      </c>
      <c r="J59" s="82"/>
      <c r="K59" s="82" t="s">
        <v>26</v>
      </c>
      <c r="L59" s="86" t="s">
        <v>253</v>
      </c>
      <c r="M59" s="84" t="s">
        <v>258</v>
      </c>
    </row>
    <row r="60" spans="1:14" ht="39" hidden="1" thickBot="1">
      <c r="A60" s="44" t="s">
        <v>248</v>
      </c>
      <c r="B60" s="45" t="str">
        <f t="shared" si="0"/>
        <v>122_0059</v>
      </c>
      <c r="C60" s="7" t="s">
        <v>305</v>
      </c>
      <c r="D60" s="65" t="s">
        <v>160</v>
      </c>
      <c r="E60" s="63" t="s">
        <v>132</v>
      </c>
      <c r="F60" s="75" t="s">
        <v>188</v>
      </c>
      <c r="G60" s="62"/>
      <c r="H60" s="79"/>
      <c r="I60" s="82" t="s">
        <v>31</v>
      </c>
      <c r="J60" s="82"/>
      <c r="K60" s="82" t="s">
        <v>26</v>
      </c>
      <c r="L60" s="86" t="s">
        <v>253</v>
      </c>
      <c r="M60" s="84" t="s">
        <v>258</v>
      </c>
    </row>
    <row r="61" spans="1:14" ht="64.5" thickBot="1">
      <c r="A61" s="44" t="s">
        <v>249</v>
      </c>
      <c r="B61" s="45" t="str">
        <f t="shared" si="0"/>
        <v>122_0060</v>
      </c>
      <c r="C61" s="7" t="s">
        <v>270</v>
      </c>
      <c r="D61" s="61" t="s">
        <v>161</v>
      </c>
      <c r="E61" s="100" t="s">
        <v>288</v>
      </c>
      <c r="F61" s="106" t="s">
        <v>289</v>
      </c>
      <c r="G61" s="97" t="s">
        <v>25</v>
      </c>
      <c r="H61" s="103">
        <v>12.11</v>
      </c>
      <c r="I61" s="82" t="s">
        <v>31</v>
      </c>
      <c r="J61" s="87" t="s">
        <v>26</v>
      </c>
      <c r="K61" s="85"/>
      <c r="L61" s="86" t="s">
        <v>253</v>
      </c>
      <c r="M61" s="84" t="s">
        <v>290</v>
      </c>
    </row>
    <row r="62" spans="1:14" ht="26.25" hidden="1" thickBot="1">
      <c r="A62" s="44" t="s">
        <v>250</v>
      </c>
      <c r="B62" s="45" t="str">
        <f t="shared" si="0"/>
        <v>122_0061</v>
      </c>
      <c r="C62" s="7" t="s">
        <v>270</v>
      </c>
      <c r="D62" s="62" t="s">
        <v>162</v>
      </c>
      <c r="E62" s="61" t="s">
        <v>133</v>
      </c>
      <c r="F62" s="75" t="s">
        <v>189</v>
      </c>
      <c r="G62" s="62"/>
      <c r="H62" s="77"/>
      <c r="I62" s="82" t="s">
        <v>31</v>
      </c>
      <c r="J62" s="82"/>
      <c r="K62" s="85" t="s">
        <v>26</v>
      </c>
      <c r="L62" s="86" t="s">
        <v>253</v>
      </c>
      <c r="M62" s="84" t="s">
        <v>295</v>
      </c>
    </row>
    <row r="63" spans="1:14" ht="39" thickBot="1">
      <c r="A63" s="44" t="s">
        <v>251</v>
      </c>
      <c r="B63" s="45" t="str">
        <f t="shared" si="0"/>
        <v>122_0062</v>
      </c>
      <c r="C63" s="7" t="s">
        <v>301</v>
      </c>
      <c r="D63" s="97" t="s">
        <v>296</v>
      </c>
      <c r="E63" s="62" t="s">
        <v>298</v>
      </c>
      <c r="F63" s="104" t="s">
        <v>297</v>
      </c>
      <c r="G63" s="62" t="s">
        <v>25</v>
      </c>
      <c r="H63" s="107">
        <v>7.5</v>
      </c>
      <c r="I63" s="82" t="s">
        <v>31</v>
      </c>
      <c r="J63" s="87" t="s">
        <v>26</v>
      </c>
      <c r="K63" s="85"/>
      <c r="L63" s="86" t="s">
        <v>253</v>
      </c>
      <c r="M63" s="84" t="s">
        <v>299</v>
      </c>
    </row>
    <row r="64" spans="1:14" ht="26.25" thickBot="1">
      <c r="A64" s="44" t="str">
        <f>_xlfn.CONCAT("122_ED2_",TEXT(ROW()-ROW(A$64)+1,"000"))</f>
        <v>122_ED2_001</v>
      </c>
      <c r="B64" s="45" t="str">
        <f t="shared" si="0"/>
        <v>122_0063</v>
      </c>
      <c r="C64" s="7" t="s">
        <v>270</v>
      </c>
      <c r="D64" s="62" t="s">
        <v>300</v>
      </c>
      <c r="E64" s="62" t="s">
        <v>304</v>
      </c>
      <c r="F64" s="104" t="s">
        <v>302</v>
      </c>
      <c r="G64" s="62" t="s">
        <v>25</v>
      </c>
      <c r="H64" s="107">
        <v>7.3</v>
      </c>
      <c r="I64" s="87" t="s">
        <v>26</v>
      </c>
      <c r="J64" s="82"/>
      <c r="K64" s="85"/>
      <c r="L64" s="86" t="s">
        <v>303</v>
      </c>
      <c r="M64" s="84"/>
    </row>
    <row r="65" spans="1:13" ht="51.75" thickBot="1">
      <c r="A65" s="44" t="str">
        <f>_xlfn.CONCAT("122_ED2_",TEXT(ROW()-ROW(A$64)+1,"000"))</f>
        <v>122_ED2_002</v>
      </c>
      <c r="B65" s="45" t="str">
        <f t="shared" si="0"/>
        <v>122_0064</v>
      </c>
      <c r="C65" s="7" t="s">
        <v>305</v>
      </c>
      <c r="D65" s="62" t="s">
        <v>315</v>
      </c>
      <c r="E65" s="62" t="s">
        <v>316</v>
      </c>
      <c r="F65" s="101" t="s">
        <v>317</v>
      </c>
      <c r="G65" s="62" t="s">
        <v>86</v>
      </c>
      <c r="H65" s="107" t="s">
        <v>318</v>
      </c>
      <c r="I65" s="88" t="s">
        <v>26</v>
      </c>
      <c r="J65" s="87"/>
      <c r="K65" s="87"/>
      <c r="L65" s="83" t="s">
        <v>303</v>
      </c>
      <c r="M65" s="84"/>
    </row>
    <row r="66" spans="1:13" ht="26.25" thickBot="1">
      <c r="A66" s="44" t="str">
        <f t="shared" ref="A66:A87" si="1">_xlfn.CONCAT("122_ED2_",TEXT(ROW()-ROW(A$64)+1,"000"))</f>
        <v>122_ED2_003</v>
      </c>
      <c r="B66" s="45" t="str">
        <f t="shared" si="0"/>
        <v>122_0065</v>
      </c>
      <c r="C66" s="7" t="s">
        <v>305</v>
      </c>
      <c r="D66" s="62" t="s">
        <v>319</v>
      </c>
      <c r="E66" s="62" t="s">
        <v>320</v>
      </c>
      <c r="F66" s="101" t="s">
        <v>321</v>
      </c>
      <c r="G66" s="62" t="s">
        <v>86</v>
      </c>
      <c r="H66" s="107" t="s">
        <v>318</v>
      </c>
      <c r="I66" s="88" t="s">
        <v>26</v>
      </c>
      <c r="J66" s="87"/>
      <c r="K66" s="87"/>
      <c r="L66" s="83" t="s">
        <v>303</v>
      </c>
      <c r="M66" s="84"/>
    </row>
    <row r="67" spans="1:13" ht="39" thickBot="1">
      <c r="A67" s="44" t="str">
        <f t="shared" si="1"/>
        <v>122_ED2_004</v>
      </c>
      <c r="B67" s="45" t="str">
        <f t="shared" ref="B67:B87" si="2">_xlfn.CONCAT("122_", TEXT(ROW()-1, "0000"))</f>
        <v>122_0066</v>
      </c>
      <c r="C67" s="7" t="s">
        <v>305</v>
      </c>
      <c r="D67" s="62" t="s">
        <v>322</v>
      </c>
      <c r="E67" s="62" t="s">
        <v>323</v>
      </c>
      <c r="F67" s="101" t="s">
        <v>324</v>
      </c>
      <c r="G67" s="62" t="s">
        <v>86</v>
      </c>
      <c r="H67" s="107" t="s">
        <v>318</v>
      </c>
      <c r="I67" s="88" t="s">
        <v>26</v>
      </c>
      <c r="J67" s="87"/>
      <c r="K67" s="87"/>
      <c r="L67" s="83" t="s">
        <v>303</v>
      </c>
      <c r="M67" s="84"/>
    </row>
    <row r="68" spans="1:13" ht="51.75" thickBot="1">
      <c r="A68" s="44" t="str">
        <f t="shared" si="1"/>
        <v>122_ED2_005</v>
      </c>
      <c r="B68" s="45" t="str">
        <f t="shared" si="2"/>
        <v>122_0067</v>
      </c>
      <c r="C68" s="7" t="s">
        <v>270</v>
      </c>
      <c r="D68" s="62" t="s">
        <v>325</v>
      </c>
      <c r="E68" s="62" t="s">
        <v>326</v>
      </c>
      <c r="F68" s="101" t="s">
        <v>327</v>
      </c>
      <c r="G68" s="62"/>
      <c r="H68" s="107"/>
      <c r="I68" s="88" t="s">
        <v>26</v>
      </c>
      <c r="J68" s="87"/>
      <c r="K68" s="87"/>
      <c r="L68" s="83" t="s">
        <v>88</v>
      </c>
      <c r="M68" s="84"/>
    </row>
    <row r="69" spans="1:13" ht="39" thickBot="1">
      <c r="A69" s="44" t="str">
        <f t="shared" si="1"/>
        <v>122_ED2_006</v>
      </c>
      <c r="B69" s="45" t="str">
        <f t="shared" si="2"/>
        <v>122_0068</v>
      </c>
      <c r="C69" s="7" t="s">
        <v>270</v>
      </c>
      <c r="D69" s="62" t="s">
        <v>328</v>
      </c>
      <c r="E69" s="97" t="s">
        <v>329</v>
      </c>
      <c r="F69" s="101" t="s">
        <v>330</v>
      </c>
      <c r="G69" s="62" t="s">
        <v>86</v>
      </c>
      <c r="H69" s="107" t="s">
        <v>331</v>
      </c>
      <c r="I69" s="88" t="s">
        <v>26</v>
      </c>
      <c r="J69" s="87"/>
      <c r="K69" s="87"/>
      <c r="L69" s="83" t="s">
        <v>88</v>
      </c>
      <c r="M69" s="84" t="s">
        <v>332</v>
      </c>
    </row>
    <row r="70" spans="1:13" ht="26.25" thickBot="1">
      <c r="A70" s="44" t="str">
        <f t="shared" si="1"/>
        <v>122_ED2_007</v>
      </c>
      <c r="B70" s="45" t="str">
        <f t="shared" si="2"/>
        <v>122_0069</v>
      </c>
      <c r="C70" s="7" t="s">
        <v>270</v>
      </c>
      <c r="D70" s="108" t="s">
        <v>333</v>
      </c>
      <c r="E70" s="62" t="s">
        <v>334</v>
      </c>
      <c r="F70" s="101" t="s">
        <v>335</v>
      </c>
      <c r="G70" s="62" t="s">
        <v>86</v>
      </c>
      <c r="H70" s="107" t="s">
        <v>409</v>
      </c>
      <c r="I70" s="88" t="s">
        <v>31</v>
      </c>
      <c r="J70" s="87"/>
      <c r="K70" s="87"/>
      <c r="L70" s="83" t="s">
        <v>88</v>
      </c>
      <c r="M70" s="84"/>
    </row>
    <row r="71" spans="1:13" ht="26.25" thickBot="1">
      <c r="A71" s="44" t="str">
        <f t="shared" si="1"/>
        <v>122_ED2_008</v>
      </c>
      <c r="B71" s="45" t="str">
        <f t="shared" si="2"/>
        <v>122_0070</v>
      </c>
      <c r="C71" s="7" t="s">
        <v>270</v>
      </c>
      <c r="D71" s="62" t="s">
        <v>336</v>
      </c>
      <c r="E71" s="62" t="s">
        <v>337</v>
      </c>
      <c r="F71" s="104" t="s">
        <v>338</v>
      </c>
      <c r="G71" s="62" t="s">
        <v>86</v>
      </c>
      <c r="H71" s="107">
        <v>12.1</v>
      </c>
      <c r="I71" s="87" t="s">
        <v>31</v>
      </c>
      <c r="J71" s="87"/>
      <c r="K71" s="87"/>
      <c r="L71" s="86" t="s">
        <v>88</v>
      </c>
      <c r="M71" s="84"/>
    </row>
    <row r="72" spans="1:13" ht="39" thickBot="1">
      <c r="A72" s="44" t="str">
        <f t="shared" si="1"/>
        <v>122_ED2_009</v>
      </c>
      <c r="B72" s="45" t="str">
        <f t="shared" si="2"/>
        <v>122_0071</v>
      </c>
      <c r="C72" s="7" t="s">
        <v>270</v>
      </c>
      <c r="D72" s="62" t="s">
        <v>339</v>
      </c>
      <c r="E72" s="62" t="s">
        <v>340</v>
      </c>
      <c r="F72" s="104" t="s">
        <v>338</v>
      </c>
      <c r="G72" s="62" t="s">
        <v>86</v>
      </c>
      <c r="H72" s="107">
        <v>12.1</v>
      </c>
      <c r="I72" s="87" t="s">
        <v>31</v>
      </c>
      <c r="J72" s="87"/>
      <c r="K72" s="87"/>
      <c r="L72" s="86" t="s">
        <v>88</v>
      </c>
      <c r="M72" s="84"/>
    </row>
    <row r="73" spans="1:13" ht="51.75" thickBot="1">
      <c r="A73" s="44" t="str">
        <f t="shared" si="1"/>
        <v>122_ED2_010</v>
      </c>
      <c r="B73" s="45" t="str">
        <f t="shared" si="2"/>
        <v>122_0072</v>
      </c>
      <c r="C73" s="7" t="s">
        <v>270</v>
      </c>
      <c r="D73" s="62" t="s">
        <v>341</v>
      </c>
      <c r="E73" s="62" t="s">
        <v>342</v>
      </c>
      <c r="F73" s="104" t="s">
        <v>343</v>
      </c>
      <c r="G73" s="62" t="s">
        <v>86</v>
      </c>
      <c r="H73" s="107" t="s">
        <v>344</v>
      </c>
      <c r="I73" s="87" t="s">
        <v>31</v>
      </c>
      <c r="J73" s="87" t="s">
        <v>26</v>
      </c>
      <c r="K73" s="87"/>
      <c r="L73" s="86" t="s">
        <v>88</v>
      </c>
      <c r="M73" s="84" t="s">
        <v>345</v>
      </c>
    </row>
    <row r="74" spans="1:13" ht="39" thickBot="1">
      <c r="A74" s="44" t="str">
        <f t="shared" si="1"/>
        <v>122_ED2_011</v>
      </c>
      <c r="B74" s="45" t="str">
        <f t="shared" si="2"/>
        <v>122_0073</v>
      </c>
      <c r="C74" s="7" t="s">
        <v>301</v>
      </c>
      <c r="D74" s="100" t="s">
        <v>292</v>
      </c>
      <c r="E74" s="97" t="s">
        <v>279</v>
      </c>
      <c r="F74" s="106" t="s">
        <v>293</v>
      </c>
      <c r="G74" s="62" t="s">
        <v>25</v>
      </c>
      <c r="H74" s="99">
        <v>13.1</v>
      </c>
      <c r="I74" s="82"/>
      <c r="J74" s="82"/>
      <c r="K74" s="82"/>
      <c r="L74" s="86"/>
      <c r="M74" s="84"/>
    </row>
    <row r="75" spans="1:13" ht="39" thickBot="1">
      <c r="A75" s="44" t="str">
        <f t="shared" si="1"/>
        <v>122_ED2_012</v>
      </c>
      <c r="B75" s="45" t="str">
        <f t="shared" si="2"/>
        <v>122_0074</v>
      </c>
      <c r="C75" s="116" t="s">
        <v>270</v>
      </c>
      <c r="D75" s="88" t="s">
        <v>366</v>
      </c>
      <c r="E75" s="88" t="s">
        <v>367</v>
      </c>
      <c r="F75" s="88" t="s">
        <v>368</v>
      </c>
      <c r="G75" s="117" t="s">
        <v>25</v>
      </c>
      <c r="H75" s="116" t="s">
        <v>369</v>
      </c>
      <c r="I75" s="87" t="s">
        <v>26</v>
      </c>
      <c r="J75" s="87"/>
      <c r="K75" s="87"/>
      <c r="L75" s="88" t="s">
        <v>88</v>
      </c>
      <c r="M75" s="84"/>
    </row>
    <row r="76" spans="1:13" ht="26.25" thickBot="1">
      <c r="A76" s="44" t="str">
        <f t="shared" si="1"/>
        <v>122_ED2_013</v>
      </c>
      <c r="B76" s="45" t="str">
        <f t="shared" si="2"/>
        <v>122_0075</v>
      </c>
      <c r="C76" s="116" t="s">
        <v>305</v>
      </c>
      <c r="D76" s="88" t="s">
        <v>370</v>
      </c>
      <c r="E76" s="88" t="s">
        <v>371</v>
      </c>
      <c r="F76" s="88" t="s">
        <v>372</v>
      </c>
      <c r="G76" s="117" t="s">
        <v>25</v>
      </c>
      <c r="H76" s="116">
        <v>7.3</v>
      </c>
      <c r="I76" s="87" t="s">
        <v>26</v>
      </c>
      <c r="J76" s="87"/>
      <c r="K76" s="87"/>
      <c r="L76" s="88" t="s">
        <v>253</v>
      </c>
      <c r="M76" s="84"/>
    </row>
    <row r="77" spans="1:13" ht="26.25" thickBot="1">
      <c r="A77" s="44" t="str">
        <f t="shared" si="1"/>
        <v>122_ED2_014</v>
      </c>
      <c r="B77" s="45" t="str">
        <f t="shared" si="2"/>
        <v>122_0076</v>
      </c>
      <c r="C77" s="116" t="s">
        <v>305</v>
      </c>
      <c r="D77" s="88" t="s">
        <v>410</v>
      </c>
      <c r="E77" s="88" t="s">
        <v>373</v>
      </c>
      <c r="F77" s="88" t="s">
        <v>374</v>
      </c>
      <c r="G77" s="117" t="s">
        <v>86</v>
      </c>
      <c r="H77" s="116" t="s">
        <v>331</v>
      </c>
      <c r="I77" s="87" t="s">
        <v>26</v>
      </c>
      <c r="J77" s="87"/>
      <c r="K77" s="87"/>
      <c r="L77" s="88" t="s">
        <v>375</v>
      </c>
      <c r="M77" s="84"/>
    </row>
    <row r="78" spans="1:13" ht="26.25" thickBot="1">
      <c r="A78" s="44" t="str">
        <f t="shared" si="1"/>
        <v>122_ED2_015</v>
      </c>
      <c r="B78" s="45" t="str">
        <f t="shared" si="2"/>
        <v>122_0077</v>
      </c>
      <c r="C78" s="116" t="s">
        <v>270</v>
      </c>
      <c r="D78" s="88" t="s">
        <v>376</v>
      </c>
      <c r="E78" s="88" t="s">
        <v>377</v>
      </c>
      <c r="F78" s="88" t="s">
        <v>378</v>
      </c>
      <c r="G78" s="117" t="s">
        <v>86</v>
      </c>
      <c r="H78" s="116" t="s">
        <v>331</v>
      </c>
      <c r="I78" s="87" t="s">
        <v>26</v>
      </c>
      <c r="J78" s="87"/>
      <c r="K78" s="87"/>
      <c r="L78" s="88" t="s">
        <v>375</v>
      </c>
      <c r="M78" s="84"/>
    </row>
    <row r="79" spans="1:13" ht="26.25" thickBot="1">
      <c r="A79" s="44" t="str">
        <f t="shared" si="1"/>
        <v>122_ED2_016</v>
      </c>
      <c r="B79" s="45" t="str">
        <f t="shared" si="2"/>
        <v>122_0078</v>
      </c>
      <c r="C79" s="116" t="s">
        <v>270</v>
      </c>
      <c r="D79" s="88" t="s">
        <v>379</v>
      </c>
      <c r="E79" s="88" t="s">
        <v>380</v>
      </c>
      <c r="F79" s="88" t="s">
        <v>381</v>
      </c>
      <c r="G79" s="117" t="s">
        <v>86</v>
      </c>
      <c r="H79" s="116" t="s">
        <v>382</v>
      </c>
      <c r="I79" s="87" t="s">
        <v>26</v>
      </c>
      <c r="J79" s="87"/>
      <c r="K79" s="87"/>
      <c r="L79" s="88" t="s">
        <v>375</v>
      </c>
      <c r="M79" s="84"/>
    </row>
    <row r="80" spans="1:13" ht="39" thickBot="1">
      <c r="A80" s="44" t="str">
        <f t="shared" si="1"/>
        <v>122_ED2_017</v>
      </c>
      <c r="B80" s="45" t="str">
        <f t="shared" si="2"/>
        <v>122_0079</v>
      </c>
      <c r="C80" s="116" t="s">
        <v>270</v>
      </c>
      <c r="D80" s="88" t="s">
        <v>383</v>
      </c>
      <c r="E80" s="88" t="s">
        <v>384</v>
      </c>
      <c r="F80" s="88" t="s">
        <v>385</v>
      </c>
      <c r="G80" s="117" t="s">
        <v>267</v>
      </c>
      <c r="H80" s="116"/>
      <c r="I80" s="87" t="s">
        <v>26</v>
      </c>
      <c r="J80" s="87"/>
      <c r="K80" s="87"/>
      <c r="L80" s="88" t="s">
        <v>386</v>
      </c>
      <c r="M80" s="84"/>
    </row>
    <row r="81" spans="1:13" ht="39" thickBot="1">
      <c r="A81" s="44" t="str">
        <f t="shared" si="1"/>
        <v>122_ED2_018</v>
      </c>
      <c r="B81" s="45" t="str">
        <f t="shared" si="2"/>
        <v>122_0080</v>
      </c>
      <c r="C81" s="116" t="s">
        <v>270</v>
      </c>
      <c r="D81" s="88" t="s">
        <v>411</v>
      </c>
      <c r="E81" s="88" t="s">
        <v>412</v>
      </c>
      <c r="F81" s="88" t="s">
        <v>413</v>
      </c>
      <c r="G81" s="117" t="s">
        <v>86</v>
      </c>
      <c r="H81" s="116" t="s">
        <v>414</v>
      </c>
      <c r="I81" s="87" t="s">
        <v>26</v>
      </c>
      <c r="J81" s="87"/>
      <c r="K81" s="87"/>
      <c r="L81" s="88" t="s">
        <v>375</v>
      </c>
      <c r="M81" s="84"/>
    </row>
    <row r="82" spans="1:13" ht="26.25" thickBot="1">
      <c r="A82" s="44" t="str">
        <f t="shared" si="1"/>
        <v>122_ED2_019</v>
      </c>
      <c r="B82" s="45" t="str">
        <f t="shared" si="2"/>
        <v>122_0081</v>
      </c>
      <c r="C82" s="7" t="s">
        <v>270</v>
      </c>
      <c r="D82" s="5" t="s">
        <v>416</v>
      </c>
      <c r="E82" s="63" t="s">
        <v>415</v>
      </c>
      <c r="F82" s="104" t="s">
        <v>417</v>
      </c>
      <c r="G82" s="62" t="s">
        <v>86</v>
      </c>
      <c r="H82" s="123" t="s">
        <v>418</v>
      </c>
      <c r="I82" s="87" t="s">
        <v>26</v>
      </c>
      <c r="J82" s="82"/>
      <c r="K82" s="82"/>
      <c r="L82" s="86" t="s">
        <v>375</v>
      </c>
      <c r="M82" s="84"/>
    </row>
    <row r="83" spans="1:13" ht="26.25" thickBot="1">
      <c r="A83" s="44" t="str">
        <f t="shared" si="1"/>
        <v>122_ED2_020</v>
      </c>
      <c r="B83" s="45" t="str">
        <f t="shared" si="2"/>
        <v>122_0082</v>
      </c>
      <c r="C83" s="7" t="s">
        <v>305</v>
      </c>
      <c r="D83" s="63" t="s">
        <v>419</v>
      </c>
      <c r="E83" s="62" t="s">
        <v>420</v>
      </c>
      <c r="F83" s="104" t="s">
        <v>421</v>
      </c>
      <c r="G83" s="62" t="s">
        <v>86</v>
      </c>
      <c r="H83" s="79">
        <v>2.4</v>
      </c>
      <c r="I83" s="87" t="s">
        <v>26</v>
      </c>
      <c r="J83" s="82"/>
      <c r="K83" s="82"/>
      <c r="L83" s="86" t="s">
        <v>375</v>
      </c>
      <c r="M83" s="84"/>
    </row>
    <row r="84" spans="1:13" ht="39" thickBot="1">
      <c r="A84" s="44" t="str">
        <f t="shared" si="1"/>
        <v>122_ED2_021</v>
      </c>
      <c r="B84" s="45" t="str">
        <f t="shared" si="2"/>
        <v>122_0083</v>
      </c>
      <c r="C84" s="7" t="s">
        <v>305</v>
      </c>
      <c r="D84" s="88" t="s">
        <v>422</v>
      </c>
      <c r="E84" s="114" t="s">
        <v>423</v>
      </c>
      <c r="F84" s="88" t="s">
        <v>424</v>
      </c>
      <c r="G84" s="121" t="s">
        <v>86</v>
      </c>
      <c r="H84" s="116" t="s">
        <v>425</v>
      </c>
      <c r="I84" s="87" t="s">
        <v>26</v>
      </c>
      <c r="J84" s="87"/>
      <c r="K84" s="87"/>
      <c r="L84" s="88" t="s">
        <v>375</v>
      </c>
      <c r="M84" s="84"/>
    </row>
    <row r="85" spans="1:13" ht="39" thickBot="1">
      <c r="A85" s="44" t="str">
        <f t="shared" si="1"/>
        <v>122_ED2_022</v>
      </c>
      <c r="B85" s="45" t="str">
        <f t="shared" si="2"/>
        <v>122_0084</v>
      </c>
      <c r="C85" s="7" t="s">
        <v>270</v>
      </c>
      <c r="D85" s="88" t="s">
        <v>426</v>
      </c>
      <c r="E85" s="114" t="s">
        <v>427</v>
      </c>
      <c r="F85" s="88" t="s">
        <v>428</v>
      </c>
      <c r="G85" s="121" t="s">
        <v>86</v>
      </c>
      <c r="H85" s="116" t="s">
        <v>429</v>
      </c>
      <c r="I85" s="87" t="s">
        <v>26</v>
      </c>
      <c r="J85" s="87"/>
      <c r="K85" s="87"/>
      <c r="L85" s="88" t="s">
        <v>375</v>
      </c>
      <c r="M85" s="84"/>
    </row>
    <row r="86" spans="1:13" ht="26.25" thickBot="1">
      <c r="A86" s="44" t="str">
        <f t="shared" si="1"/>
        <v>122_ED2_023</v>
      </c>
      <c r="B86" s="45" t="str">
        <f t="shared" si="2"/>
        <v>122_0085</v>
      </c>
      <c r="C86" s="116" t="s">
        <v>305</v>
      </c>
      <c r="D86" s="88" t="s">
        <v>431</v>
      </c>
      <c r="E86" s="88" t="s">
        <v>432</v>
      </c>
      <c r="F86" s="88" t="s">
        <v>433</v>
      </c>
      <c r="G86" s="117" t="s">
        <v>267</v>
      </c>
      <c r="H86" s="116"/>
      <c r="I86" s="87" t="s">
        <v>26</v>
      </c>
      <c r="J86" s="87"/>
      <c r="K86" s="87"/>
      <c r="L86" s="88" t="s">
        <v>434</v>
      </c>
      <c r="M86" s="84" t="s">
        <v>435</v>
      </c>
    </row>
    <row r="87" spans="1:13" ht="51.75" thickBot="1">
      <c r="A87" s="44" t="str">
        <f t="shared" si="1"/>
        <v>122_ED2_024</v>
      </c>
      <c r="B87" s="45" t="str">
        <f t="shared" si="2"/>
        <v>122_0086</v>
      </c>
      <c r="C87" s="116" t="s">
        <v>270</v>
      </c>
      <c r="D87" s="88" t="s">
        <v>436</v>
      </c>
      <c r="E87" s="88" t="s">
        <v>437</v>
      </c>
      <c r="F87" s="88" t="s">
        <v>438</v>
      </c>
      <c r="G87" s="117" t="s">
        <v>267</v>
      </c>
      <c r="H87" s="116"/>
      <c r="I87" s="87" t="s">
        <v>26</v>
      </c>
      <c r="J87" s="87"/>
      <c r="K87" s="87"/>
      <c r="L87" s="88" t="s">
        <v>375</v>
      </c>
      <c r="M87" s="84" t="s">
        <v>439</v>
      </c>
    </row>
    <row r="88" spans="1:13">
      <c r="A88" s="44"/>
      <c r="B88" s="45"/>
      <c r="C88" s="7"/>
      <c r="F88" s="58"/>
    </row>
    <row r="89" spans="1:13">
      <c r="A89" s="44"/>
      <c r="B89" s="45"/>
      <c r="C89" s="7"/>
      <c r="F89" s="58"/>
    </row>
  </sheetData>
  <autoFilter ref="K1:K89" xr:uid="{00000000-0001-0000-0100-000000000000}">
    <filterColumn colId="0">
      <filters blank="1"/>
    </filterColumn>
  </autoFilter>
  <dataValidations count="1">
    <dataValidation type="list" allowBlank="1" showInputMessage="1" showErrorMessage="1" sqref="C2:C89" xr:uid="{1FB138CC-14EF-4406-9E7B-EC5039F9ECE1}">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ED3A-C64B-4840-BCED-AC4084F0FF9E}">
  <dimension ref="A1:R91"/>
  <sheetViews>
    <sheetView zoomScale="110" zoomScaleNormal="110" workbookViewId="0">
      <selection activeCell="A2" sqref="A2"/>
    </sheetView>
  </sheetViews>
  <sheetFormatPr defaultColWidth="8.7109375" defaultRowHeight="12.75"/>
  <cols>
    <col min="1" max="1" width="13" style="91" customWidth="1"/>
    <col min="2" max="2" width="11.28515625" style="95" customWidth="1"/>
    <col min="3" max="3" width="12.7109375" style="91" customWidth="1"/>
    <col min="4" max="4" width="42.28515625" style="43" customWidth="1"/>
    <col min="5" max="5" width="58.85546875" style="43" customWidth="1"/>
    <col min="6" max="6" width="34.7109375" style="43" customWidth="1"/>
    <col min="7" max="7" width="18" style="93" customWidth="1"/>
    <col min="8" max="8" width="16.28515625" style="94" customWidth="1"/>
    <col min="9" max="9" width="10.42578125" style="43" customWidth="1"/>
    <col min="10" max="10" width="8.28515625" style="43" customWidth="1"/>
    <col min="11" max="11" width="8" style="43" customWidth="1"/>
    <col min="12" max="12" width="9.42578125" style="43" customWidth="1"/>
    <col min="13" max="13" width="25.28515625" style="59" customWidth="1"/>
    <col min="14" max="14" width="27.140625" style="5" customWidth="1"/>
    <col min="15" max="16384" width="8.7109375" style="5"/>
  </cols>
  <sheetData>
    <row r="1" spans="1:18" ht="26.25" thickBot="1">
      <c r="A1" s="6" t="s">
        <v>14</v>
      </c>
      <c r="B1" s="6" t="s">
        <v>15</v>
      </c>
      <c r="C1" s="6" t="s">
        <v>16</v>
      </c>
      <c r="D1" s="60" t="s">
        <v>17</v>
      </c>
      <c r="E1" s="60" t="s">
        <v>18</v>
      </c>
      <c r="F1" s="60" t="s">
        <v>19</v>
      </c>
      <c r="G1" s="48" t="s">
        <v>20</v>
      </c>
      <c r="H1" s="50" t="s">
        <v>21</v>
      </c>
      <c r="I1" s="66" t="s">
        <v>22</v>
      </c>
      <c r="J1" s="80" t="s">
        <v>23</v>
      </c>
      <c r="K1" s="80" t="s">
        <v>24</v>
      </c>
      <c r="L1" s="81" t="s">
        <v>90</v>
      </c>
      <c r="M1" s="68" t="s">
        <v>91</v>
      </c>
      <c r="N1" s="43"/>
    </row>
    <row r="2" spans="1:18" ht="26.25" thickBot="1">
      <c r="A2" s="44" t="str" cm="1">
        <f t="array" ref="A2:M26">_xlfn._xlws.FILTER(S122Checks!A2:M63,NOT(ISBLANK(S122Checks!K2:K63)),"")</f>
        <v>122_ED1_101</v>
      </c>
      <c r="B2" s="45" t="str">
        <v>122_0002</v>
      </c>
      <c r="C2" s="7" t="str">
        <v>E</v>
      </c>
      <c r="D2" s="61" t="str">
        <v>The cell is larger than 20Mb in size.</v>
      </c>
      <c r="E2" s="61" t="str">
        <v>If the cell file size is greater than 20 MiB.</v>
      </c>
      <c r="F2" s="69" t="str">
        <v>Ensure that the cell is not larger than 20 MiB</v>
      </c>
      <c r="G2" s="61" t="str">
        <v>PS</v>
      </c>
      <c r="H2" s="76">
        <v>9.8000000000000007</v>
      </c>
      <c r="I2" s="85" t="str">
        <v>1.0.0</v>
      </c>
      <c r="J2" s="85">
        <v>0</v>
      </c>
      <c r="K2" s="85" t="str">
        <v>2.0.0</v>
      </c>
      <c r="L2" s="83" t="str">
        <v>B, S?</v>
      </c>
      <c r="M2" s="84" t="str">
        <v>Covered by generic check(s) in S-158:100.</v>
      </c>
      <c r="N2" s="43"/>
      <c r="O2" s="89"/>
      <c r="P2" s="89"/>
      <c r="Q2" s="89"/>
      <c r="R2" s="89"/>
    </row>
    <row r="3" spans="1:18" ht="39" thickBot="1">
      <c r="A3" s="44" t="str">
        <v>122_ED1_104</v>
      </c>
      <c r="B3" s="45" t="str">
        <v>122_0005</v>
      </c>
      <c r="C3" s="7" t="str">
        <v>E</v>
      </c>
      <c r="D3" s="62" t="str">
        <v>Mandatory attributes are not encoded</v>
      </c>
      <c r="E3" s="62" t="str">
        <v>If any mandatory attributes are not Present.</v>
      </c>
      <c r="F3" s="70" t="str">
        <v>Populate mandatory attributes (If unknown encode attribute with empty value).</v>
      </c>
      <c r="G3" s="67" t="str">
        <v>DCEG</v>
      </c>
      <c r="H3" s="77" t="str">
        <v>2.4.2</v>
      </c>
      <c r="I3" s="85" t="str">
        <v>1.0.0</v>
      </c>
      <c r="J3" s="85">
        <v>0</v>
      </c>
      <c r="K3" s="85" t="str">
        <v>2.0.0</v>
      </c>
      <c r="L3" s="83" t="str">
        <v>B, U</v>
      </c>
      <c r="M3" s="84" t="str">
        <v>Covered by generic check(s) in S-158:100.</v>
      </c>
      <c r="N3" s="43"/>
    </row>
    <row r="4" spans="1:18" ht="39" thickBot="1">
      <c r="A4" s="44" t="str">
        <v>122_ED1_107</v>
      </c>
      <c r="B4" s="45" t="str">
        <v>122_0008</v>
      </c>
      <c r="C4" s="7" t="str">
        <v>E</v>
      </c>
      <c r="D4" s="62" t="str">
        <v xml:space="preserve">Wrong association used </v>
      </c>
      <c r="E4" s="62" t="str">
        <v>For each association between features instances, features instances and information instances, and between information instances that is not defined in the feature catalogue</v>
      </c>
      <c r="F4" s="70" t="str">
        <v>Use correct association type</v>
      </c>
      <c r="G4" s="62">
        <v>0</v>
      </c>
      <c r="H4" s="77">
        <v>0</v>
      </c>
      <c r="I4" s="85" t="str">
        <v>1.0.0</v>
      </c>
      <c r="J4" s="85">
        <v>0</v>
      </c>
      <c r="K4" s="85" t="str">
        <v>2.0.0</v>
      </c>
      <c r="L4" s="83" t="str">
        <v>B, U</v>
      </c>
      <c r="M4" s="84" t="str">
        <v>Covered by generic check(s) in S-158:100.</v>
      </c>
      <c r="N4" s="43"/>
    </row>
    <row r="5" spans="1:18" ht="26.25" thickBot="1">
      <c r="A5" s="44" t="str">
        <v>122_ED1_108</v>
      </c>
      <c r="B5" s="45" t="str">
        <v>122_0009</v>
      </c>
      <c r="C5" s="7" t="str">
        <v>E</v>
      </c>
      <c r="D5" s="62" t="str">
        <v>Wrong role used</v>
      </c>
      <c r="E5" s="62" t="str">
        <v>For each role name on associations that is not defined in the feature catalogue</v>
      </c>
      <c r="F5" s="70" t="str">
        <v>Use correct role name</v>
      </c>
      <c r="G5" s="62">
        <v>0</v>
      </c>
      <c r="H5" s="77">
        <v>0</v>
      </c>
      <c r="I5" s="85" t="str">
        <v>1.0.0</v>
      </c>
      <c r="J5" s="85">
        <v>0</v>
      </c>
      <c r="K5" s="85" t="str">
        <v>2.0.0</v>
      </c>
      <c r="L5" s="83" t="str">
        <v>B, U</v>
      </c>
      <c r="M5" s="84" t="str">
        <v>Covered by generic check(s) in S-158:100.</v>
      </c>
      <c r="N5" s="43"/>
    </row>
    <row r="6" spans="1:18" ht="26.25" thickBot="1">
      <c r="A6" s="44" t="str">
        <v>122_ED1_109</v>
      </c>
      <c r="B6" s="45" t="str">
        <v>122_0010</v>
      </c>
      <c r="C6" s="7" t="str">
        <v>E</v>
      </c>
      <c r="D6" s="62" t="str">
        <v>Unknown association is used.</v>
      </c>
      <c r="E6" s="62" t="str">
        <v>For each association that is not defined in the feature catalogue.</v>
      </c>
      <c r="F6" s="70" t="str">
        <v>Use association that is defined in the feature catalogue.</v>
      </c>
      <c r="G6" s="62">
        <v>0</v>
      </c>
      <c r="H6" s="77">
        <v>0</v>
      </c>
      <c r="I6" s="85" t="str">
        <v>1.0.0</v>
      </c>
      <c r="J6" s="85">
        <v>0</v>
      </c>
      <c r="K6" s="85" t="str">
        <v>2.0.0</v>
      </c>
      <c r="L6" s="83" t="str">
        <v>B, U</v>
      </c>
      <c r="M6" s="84" t="str">
        <v>Covered by generic check(s) in S-158:100.</v>
      </c>
      <c r="N6" s="43"/>
    </row>
    <row r="7" spans="1:18" s="43" customFormat="1" ht="26.25" thickBot="1">
      <c r="A7" s="44" t="str">
        <v>122_ED1_110</v>
      </c>
      <c r="B7" s="45" t="str">
        <v>122_0011</v>
      </c>
      <c r="C7" s="42" t="str">
        <v>E</v>
      </c>
      <c r="D7" s="62" t="str">
        <v>Unknown role name is used.</v>
      </c>
      <c r="E7" s="62" t="str">
        <v>For each role name that is not defined in the feature catalogue.</v>
      </c>
      <c r="F7" s="71" t="str">
        <v>Use role name that is defined in the feature catalogue.</v>
      </c>
      <c r="G7" s="62">
        <v>0</v>
      </c>
      <c r="H7" s="77">
        <v>0</v>
      </c>
      <c r="I7" s="85" t="str">
        <v>1.0.0</v>
      </c>
      <c r="J7" s="85">
        <v>0</v>
      </c>
      <c r="K7" s="85" t="str">
        <v>2.0.0</v>
      </c>
      <c r="L7" s="83" t="str">
        <v>B, U</v>
      </c>
      <c r="M7" s="84" t="str">
        <v>Covered by generic check(s) in S-158:100.</v>
      </c>
    </row>
    <row r="8" spans="1:18" s="43" customFormat="1" ht="26.25" thickBot="1">
      <c r="A8" s="44" t="str">
        <v>122_ED1_111</v>
      </c>
      <c r="B8" s="45" t="str">
        <v>122_0012</v>
      </c>
      <c r="C8" s="42" t="str">
        <v>E</v>
      </c>
      <c r="D8" s="62" t="str">
        <v>Class is associated in an illegal association.</v>
      </c>
      <c r="E8" s="62" t="str">
        <v>For each association ensure associated classes are only those permitted by the feature catalogue.</v>
      </c>
      <c r="F8" s="71" t="str">
        <v>Ensure correct association is used between classes.</v>
      </c>
      <c r="G8" s="62">
        <v>0</v>
      </c>
      <c r="H8" s="77">
        <v>0</v>
      </c>
      <c r="I8" s="85" t="str">
        <v>1.0.0</v>
      </c>
      <c r="J8" s="85">
        <v>0</v>
      </c>
      <c r="K8" s="85" t="str">
        <v>2.0.0</v>
      </c>
      <c r="L8" s="83" t="str">
        <v>B, U, S</v>
      </c>
      <c r="M8" s="84" t="str">
        <v>Covered by generic check(s) in S-158:100.</v>
      </c>
    </row>
    <row r="9" spans="1:18" ht="26.25" thickBot="1">
      <c r="A9" s="44" t="str">
        <v>122_ED1_112</v>
      </c>
      <c r="B9" s="45" t="str">
        <v>122_0013</v>
      </c>
      <c r="C9" s="7" t="str">
        <v>E</v>
      </c>
      <c r="D9" s="62" t="str">
        <v>Role name is used on an illegal association.</v>
      </c>
      <c r="E9" s="62" t="str">
        <v>For each role name ensure it is only used with permitted associations.</v>
      </c>
      <c r="F9" s="70" t="str">
        <v>Ensure correct role names are used on the association.</v>
      </c>
      <c r="G9" s="62">
        <v>0</v>
      </c>
      <c r="H9" s="77">
        <v>0</v>
      </c>
      <c r="I9" s="85" t="str">
        <v>1.0.0</v>
      </c>
      <c r="J9" s="85">
        <v>0</v>
      </c>
      <c r="K9" s="85" t="str">
        <v>2.0.0</v>
      </c>
      <c r="L9" s="83" t="str">
        <v>B, U, S</v>
      </c>
      <c r="M9" s="84" t="str">
        <v>Covered by generic check(s) in S-158:100.</v>
      </c>
    </row>
    <row r="10" spans="1:18" ht="26.25" thickBot="1">
      <c r="A10" s="44" t="str">
        <v>122_ED1_113</v>
      </c>
      <c r="B10" s="45" t="str">
        <v>122_0014</v>
      </c>
      <c r="C10" s="7" t="str">
        <v>C</v>
      </c>
      <c r="D10" s="62" t="str">
        <v>Dataset does not conform to the GML schema</v>
      </c>
      <c r="E10" s="62" t="str">
        <v>Dataset is not conformant to the GML schema.</v>
      </c>
      <c r="F10" s="70" t="str">
        <v>Ensure conformance to the GML schema</v>
      </c>
      <c r="G10" s="62" t="str">
        <v>PS</v>
      </c>
      <c r="H10" s="77" t="str">
        <v>[10.1.1, 10.11.1]</v>
      </c>
      <c r="I10" s="85" t="str">
        <v>1.0.0</v>
      </c>
      <c r="J10" s="85">
        <v>0</v>
      </c>
      <c r="K10" s="85" t="str">
        <v>2.0.0</v>
      </c>
      <c r="L10" s="83" t="str">
        <v>B, U</v>
      </c>
      <c r="M10" s="84" t="str">
        <v>Covered by generic check(s) in S-158:100.</v>
      </c>
    </row>
    <row r="11" spans="1:18" ht="26.25" thickBot="1">
      <c r="A11" s="44" t="str">
        <v>122_ED1_121</v>
      </c>
      <c r="B11" s="45" t="str">
        <v>122_0022</v>
      </c>
      <c r="C11" s="7" t="str">
        <v>E</v>
      </c>
      <c r="D11" s="62" t="str">
        <v>File names are not in accordance with the Product Specification.</v>
      </c>
      <c r="E11" s="62" t="str">
        <v xml:space="preserve">If the file names in an exchange set are not in accordance with the Product Specification. </v>
      </c>
      <c r="F11" s="70" t="str">
        <v>Amend file names.</v>
      </c>
      <c r="G11" s="62" t="str">
        <v>PS</v>
      </c>
      <c r="H11" s="77" t="str">
        <v>13.3.2, 13.3.3</v>
      </c>
      <c r="I11" s="85" t="str">
        <v>1.0.0</v>
      </c>
      <c r="J11" s="85">
        <v>0</v>
      </c>
      <c r="K11" s="85" t="str">
        <v>2.0.0</v>
      </c>
      <c r="L11" s="83" t="str">
        <v>B, U</v>
      </c>
      <c r="M11" s="84" t="str">
        <v>Covered by generic check(s) in S-158:100.</v>
      </c>
      <c r="N11" s="43"/>
    </row>
    <row r="12" spans="1:18" ht="26.25" thickBot="1">
      <c r="A12" s="44" t="str">
        <v>122_ED1_123 </v>
      </c>
      <c r="B12" s="45" t="str">
        <v>122_0024</v>
      </c>
      <c r="C12" s="7" t="str">
        <v>C</v>
      </c>
      <c r="D12" s="62" t="str">
        <v>Object has invalid feature class code.</v>
      </c>
      <c r="E12" s="62" t="str">
        <v>For each feature instance, which does not have a valid feature class label/code as defined by the feature catalogue.</v>
      </c>
      <c r="F12" s="72" t="str">
        <v>Amend object class code.</v>
      </c>
      <c r="G12" s="62">
        <v>0</v>
      </c>
      <c r="H12" s="77">
        <v>0</v>
      </c>
      <c r="I12" s="85" t="str">
        <v>1.0.0</v>
      </c>
      <c r="J12" s="85">
        <v>0</v>
      </c>
      <c r="K12" s="85" t="str">
        <v>2.0.0</v>
      </c>
      <c r="L12" s="83" t="str">
        <v>B, U</v>
      </c>
      <c r="M12" s="84" t="str">
        <v>Covered by generic check(s) in S-158:100.</v>
      </c>
      <c r="N12" s="43"/>
    </row>
    <row r="13" spans="1:18" s="43" customFormat="1" ht="26.25" thickBot="1">
      <c r="A13" s="44" t="str">
        <v>122_ED1_124 </v>
      </c>
      <c r="B13" s="45" t="str">
        <v>122_0025</v>
      </c>
      <c r="C13" s="42" t="str">
        <v>C</v>
      </c>
      <c r="D13" s="62" t="str">
        <v>Attribute has invalid attribute label/code.</v>
      </c>
      <c r="E13" s="62" t="str">
        <v>For each attribute, which does not have a valid attribute label/code as defined by the feature catalogue.</v>
      </c>
      <c r="F13" s="70" t="str">
        <v>Amend attribute label/code.</v>
      </c>
      <c r="G13" s="62">
        <v>0</v>
      </c>
      <c r="H13" s="77">
        <v>0</v>
      </c>
      <c r="I13" s="85" t="str">
        <v>1.0.0</v>
      </c>
      <c r="J13" s="85">
        <v>0</v>
      </c>
      <c r="K13" s="85" t="str">
        <v>2.0.0</v>
      </c>
      <c r="L13" s="83" t="str">
        <v>B, U</v>
      </c>
      <c r="M13" s="84" t="str">
        <v>Covered by generic check(s) in S-158:100.</v>
      </c>
    </row>
    <row r="14" spans="1:18" s="43" customFormat="1" ht="39" thickBot="1">
      <c r="A14" s="44" t="str">
        <v>122_ED1_125</v>
      </c>
      <c r="B14" s="45" t="str">
        <v>122_0026</v>
      </c>
      <c r="C14" s="42" t="str">
        <v>E</v>
      </c>
      <c r="D14" s="55" t="str">
        <v>Attribute not permitted on feature class.</v>
      </c>
      <c r="E14" s="62" t="str">
        <v>For each feature object, which contains attributes outside the list of permissible attributes for the feature class (as defined in the feature catalogue).</v>
      </c>
      <c r="F14" s="70" t="str">
        <v>Remove attribute.</v>
      </c>
      <c r="G14" s="62">
        <v>0</v>
      </c>
      <c r="H14" s="77">
        <v>0</v>
      </c>
      <c r="I14" s="85" t="str">
        <v>1.0.0</v>
      </c>
      <c r="J14" s="85">
        <v>0</v>
      </c>
      <c r="K14" s="85" t="str">
        <v>2.0.0</v>
      </c>
      <c r="L14" s="83" t="str">
        <v>B, U</v>
      </c>
      <c r="M14" s="84" t="str">
        <v>Covered by generic check(s) in S-158:100.</v>
      </c>
    </row>
    <row r="15" spans="1:18" ht="26.25" thickBot="1">
      <c r="A15" s="44" t="str">
        <v>122_ED1_128</v>
      </c>
      <c r="B15" s="45" t="str">
        <v>122_0029</v>
      </c>
      <c r="C15" s="7" t="str">
        <v>E</v>
      </c>
      <c r="D15" s="61" t="str">
        <v>Too many instances of attribute.</v>
      </c>
      <c r="E15" s="62" t="str">
        <v>For each attribute instance where the total number of instances exceed the permitted number of instances</v>
      </c>
      <c r="F15" s="73" t="str">
        <v>Ensure correct attribute encoding.</v>
      </c>
      <c r="G15" s="62" t="str">
        <v>PS</v>
      </c>
      <c r="H15" s="77">
        <v>4.2</v>
      </c>
      <c r="I15" s="85" t="str">
        <v>1.0.0</v>
      </c>
      <c r="J15" s="85">
        <v>0</v>
      </c>
      <c r="K15" s="85" t="str">
        <v>2.0.0</v>
      </c>
      <c r="L15" s="83" t="str">
        <v>B, U</v>
      </c>
      <c r="M15" s="84" t="str">
        <v>Covered by generic check 100_0004</v>
      </c>
      <c r="N15" s="43"/>
    </row>
    <row r="16" spans="1:18" s="43" customFormat="1" ht="26.25" thickBot="1">
      <c r="A16" s="44" t="str">
        <v>122_ED1_130</v>
      </c>
      <c r="B16" s="45" t="str">
        <v>122_0031</v>
      </c>
      <c r="C16" s="42" t="str">
        <v>E</v>
      </c>
      <c r="D16" s="62" t="str">
        <v>Periodic date range must have both dateEnd and dateStart.</v>
      </c>
      <c r="E16" s="62" t="str">
        <v>For each feature instance where periodicDateRange sub-attribute dateStart OR dateEnd is missing.</v>
      </c>
      <c r="F16" s="74" t="str">
        <v>Populate both dateStart and dateEnd.</v>
      </c>
      <c r="G16" s="62">
        <v>0</v>
      </c>
      <c r="H16" s="77">
        <v>0</v>
      </c>
      <c r="I16" s="85" t="str">
        <v>1.0.0</v>
      </c>
      <c r="J16" s="85">
        <v>0</v>
      </c>
      <c r="K16" s="85" t="str">
        <v>2.0.0</v>
      </c>
      <c r="L16" s="83" t="str">
        <v>B, U</v>
      </c>
      <c r="M16" s="84" t="str">
        <v>Covered by 100_0004</v>
      </c>
    </row>
    <row r="17" spans="1:14" ht="26.25" thickBot="1">
      <c r="A17" s="44" t="str">
        <v>122_ED1_131</v>
      </c>
      <c r="B17" s="45" t="str">
        <v>122_0032</v>
      </c>
      <c r="C17" s="7" t="str">
        <v>E</v>
      </c>
      <c r="D17" s="56" t="str">
        <v>Object has dateEnd without a value of dateStart.</v>
      </c>
      <c r="E17" s="62" t="str">
        <v>For each feature instance where periodicDateRange subattribute is notNull AND dateStart is Null OR not Present.</v>
      </c>
      <c r="F17" s="73" t="str">
        <v>Populate dateStart or remove dateEnd.</v>
      </c>
      <c r="G17" s="62">
        <v>0</v>
      </c>
      <c r="H17" s="77">
        <v>0</v>
      </c>
      <c r="I17" s="85" t="str">
        <v>1.0.0</v>
      </c>
      <c r="J17" s="85">
        <v>0</v>
      </c>
      <c r="K17" s="85" t="str">
        <v>2.0.0</v>
      </c>
      <c r="L17" s="83" t="str">
        <v>B, U</v>
      </c>
      <c r="M17" s="84" t="str">
        <v>Covered by 100_0004</v>
      </c>
      <c r="N17" s="43"/>
    </row>
    <row r="18" spans="1:14" ht="26.25" thickBot="1">
      <c r="A18" s="44" t="str">
        <v>122_ED1_135</v>
      </c>
      <c r="B18" s="45" t="str">
        <v>122_0036</v>
      </c>
      <c r="C18" s="7" t="str">
        <v>E</v>
      </c>
      <c r="D18" s="61" t="str">
        <v>File referenced in the dataset is not present in the exchange set</v>
      </c>
      <c r="E18" s="62" t="str">
        <v>For each instance of a file referenced in the data, and it not present in the exchange set</v>
      </c>
      <c r="F18" s="70" t="str">
        <v>Add file to exchange set or remove reference to file.</v>
      </c>
      <c r="G18" s="62" t="str">
        <v>PS</v>
      </c>
      <c r="H18" s="77">
        <v>13.1</v>
      </c>
      <c r="I18" s="85" t="str">
        <v>1.0.0</v>
      </c>
      <c r="J18" s="85">
        <v>0</v>
      </c>
      <c r="K18" s="85" t="str">
        <v>2.0.0</v>
      </c>
      <c r="L18" s="83" t="str">
        <v>B, S</v>
      </c>
      <c r="M18" s="84" t="str">
        <v>Covered by generic check(s) in S-158:100. (100_0302)</v>
      </c>
      <c r="N18" s="43"/>
    </row>
    <row r="19" spans="1:14" ht="39" thickBot="1">
      <c r="A19" s="44" t="str">
        <v>122_ED1_140</v>
      </c>
      <c r="B19" s="45" t="str">
        <v>122_0041</v>
      </c>
      <c r="C19" s="7" t="str">
        <v>E</v>
      </c>
      <c r="D19" s="62" t="str">
        <v>Dataset discovery metadata file that does not correspond to the dataset discovery metadata content table.</v>
      </c>
      <c r="E19" s="62" t="str">
        <v>For each dataset discovery metadata file that does not correspond to the dataset discovery metadata content table.</v>
      </c>
      <c r="F19" s="70" t="str">
        <v>Ensure correct encoding of the discovery metadata file</v>
      </c>
      <c r="G19" s="62" t="str">
        <v>PS</v>
      </c>
      <c r="H19" s="77" t="str">
        <v>[14.2, 14.3]</v>
      </c>
      <c r="I19" s="85" t="str">
        <v>1.0.0</v>
      </c>
      <c r="J19" s="85">
        <v>0</v>
      </c>
      <c r="K19" s="85" t="str">
        <v>2.0.0</v>
      </c>
      <c r="L19" s="83" t="str">
        <v>B, U</v>
      </c>
      <c r="M19" s="84" t="str">
        <v>Covered by generic check(s) in S-158:100.</v>
      </c>
      <c r="N19" s="43"/>
    </row>
    <row r="20" spans="1:14" ht="39" thickBot="1">
      <c r="A20" s="44" t="str">
        <v>122_ED1_142</v>
      </c>
      <c r="B20" s="45" t="str">
        <v>122_0042</v>
      </c>
      <c r="C20" s="7" t="str">
        <v>E</v>
      </c>
      <c r="D20" s="62" t="str">
        <v>Support file discovery metadata file, does not correspond to the support file discovery metadata content table.</v>
      </c>
      <c r="E20" s="62" t="str">
        <v>For each support file discovery metadata file, does not correspond to the support file discovery metadata content table.</v>
      </c>
      <c r="F20" s="70" t="str">
        <v>Ensure correct encoding of the support file metadata file</v>
      </c>
      <c r="G20" s="62" t="str">
        <v>PS</v>
      </c>
      <c r="H20" s="77" t="str">
        <v>14.4</v>
      </c>
      <c r="I20" s="85" t="str">
        <v>1.0.0</v>
      </c>
      <c r="J20" s="85">
        <v>0</v>
      </c>
      <c r="K20" s="85" t="str">
        <v>2.0.0</v>
      </c>
      <c r="L20" s="83" t="str">
        <v>B, U</v>
      </c>
      <c r="M20" s="84" t="str">
        <v>Covered by generic check(s) in S-158:100.</v>
      </c>
      <c r="N20" s="43"/>
    </row>
    <row r="21" spans="1:14" ht="39" thickBot="1">
      <c r="A21" s="44" t="str">
        <v>122_ED1_143</v>
      </c>
      <c r="B21" s="45" t="str">
        <v>122_0043</v>
      </c>
      <c r="C21" s="7" t="str">
        <v>E</v>
      </c>
      <c r="D21" s="62" t="str">
        <v>Catalogue file discovery metadata file, does not correspond to the catalogue file discovery metadata content table.</v>
      </c>
      <c r="E21" s="62" t="str">
        <v>For each catalogue file discovery metadata file, does not correspond to the catalogue file discovery metadata content table.</v>
      </c>
      <c r="F21" s="70" t="str">
        <v>Ensure correct encoding of the catalogue metadata file.</v>
      </c>
      <c r="G21" s="62" t="str">
        <v>PS</v>
      </c>
      <c r="H21" s="77" t="str">
        <v>14.5</v>
      </c>
      <c r="I21" s="85" t="str">
        <v>1.0.0</v>
      </c>
      <c r="J21" s="85">
        <v>0</v>
      </c>
      <c r="K21" s="85" t="str">
        <v>2.0.0</v>
      </c>
      <c r="L21" s="83" t="str">
        <v>B, U</v>
      </c>
      <c r="M21" s="84" t="str">
        <v>Covered by generic check(s) in S-158:100.</v>
      </c>
      <c r="N21" s="43"/>
    </row>
    <row r="22" spans="1:14" ht="39" thickBot="1">
      <c r="A22" s="44" t="str">
        <v>122_ED1_151</v>
      </c>
      <c r="B22" s="45" t="str">
        <v>122_0051</v>
      </c>
      <c r="C22" s="7" t="str">
        <v>W</v>
      </c>
      <c r="D22" s="62" t="str">
        <v>Frequency pair frequency attributes are not populated with meaningful information.</v>
      </c>
      <c r="E22" s="61" t="str">
        <v>For each frequencyPair with frequencyShoreStationTransmits or frequencyShoreStationReceives both sub-attributes either omitted or null</v>
      </c>
      <c r="F22" s="70" t="str">
        <v>Populate at least one of frequencyShoreStationTransmits or frequencyShoreSationReceives</v>
      </c>
      <c r="G22" s="62">
        <v>0</v>
      </c>
      <c r="H22" s="77">
        <v>0</v>
      </c>
      <c r="I22" s="85" t="str">
        <v>1.0.0</v>
      </c>
      <c r="J22" s="85">
        <v>0</v>
      </c>
      <c r="K22" s="85" t="str">
        <v>2.0.0</v>
      </c>
      <c r="L22" s="83" t="str">
        <v>B, U</v>
      </c>
      <c r="M22" s="84" t="str">
        <v>Redundant in 2.0.0, FC mandates ...Transmits</v>
      </c>
      <c r="N22" s="43"/>
    </row>
    <row r="23" spans="1:14" ht="26.25" thickBot="1">
      <c r="A23" s="44" t="str">
        <v>122_ED1_158</v>
      </c>
      <c r="B23" s="45" t="str">
        <v>122_0057</v>
      </c>
      <c r="C23" s="42" t="str">
        <v>W</v>
      </c>
      <c r="D23" s="62" t="str">
        <v>The update is larger than 500 KB in size.</v>
      </c>
      <c r="E23" s="62" t="str">
        <v>If the update dataset file size is greater than 500 KiB</v>
      </c>
      <c r="F23" s="70" t="str">
        <v>Ensure that the cell is not larger than 500 KiB</v>
      </c>
      <c r="G23" s="62" t="str">
        <v>PS</v>
      </c>
      <c r="H23" s="77" t="str">
        <v>11.3</v>
      </c>
      <c r="I23" s="85" t="str">
        <v>1.0.0</v>
      </c>
      <c r="J23" s="85">
        <v>0</v>
      </c>
      <c r="K23" s="85" t="str">
        <v>2.0.0</v>
      </c>
      <c r="L23" s="83" t="str">
        <v>U</v>
      </c>
      <c r="M23" s="84" t="str">
        <v>Covered by generic check(s) in S-158:100.</v>
      </c>
      <c r="N23" s="43"/>
    </row>
    <row r="24" spans="1:14" ht="39" thickBot="1">
      <c r="A24" s="44" t="str">
        <v>122_ED1_159</v>
      </c>
      <c r="B24" s="45" t="str">
        <v>122_0058</v>
      </c>
      <c r="C24" s="7" t="str">
        <v>E</v>
      </c>
      <c r="D24" s="62" t="str">
        <v>Base dataset not present</v>
      </c>
      <c r="E24" s="105" t="str">
        <v>For each update dataset, a base dataset of the same dataset name is not either present on the system, in the same exchange set, or in another exchange set in the collection of exchange sets.</v>
      </c>
      <c r="F24" s="70" t="str">
        <v>Verify that the absence base dataset is not an error.</v>
      </c>
      <c r="G24" s="62">
        <v>0</v>
      </c>
      <c r="H24" s="77">
        <v>0</v>
      </c>
      <c r="I24" s="85" t="str">
        <v>1.0.0</v>
      </c>
      <c r="J24" s="85">
        <v>0</v>
      </c>
      <c r="K24" s="85" t="str">
        <v>2.0.0</v>
      </c>
      <c r="L24" s="83" t="str">
        <v>U</v>
      </c>
      <c r="M24" s="84" t="str">
        <v>Covered by generic check(s) in S-158:100.</v>
      </c>
      <c r="N24" s="43"/>
    </row>
    <row r="25" spans="1:14" ht="39" thickBot="1">
      <c r="A25" s="44" t="str">
        <v>122_ED1_160</v>
      </c>
      <c r="B25" s="45" t="str">
        <v>122_0059</v>
      </c>
      <c r="C25" s="7" t="str">
        <v>E</v>
      </c>
      <c r="D25" s="55" t="str">
        <v>Preceding updates not present</v>
      </c>
      <c r="E25" s="62" t="str">
        <v>For each update dataset with updateNumber N &gt; 1, the base dataset is present and updates 1 to N-1 are not present on the system, in the exchange set, or in another exchange set on the system.</v>
      </c>
      <c r="F25" s="70" t="str">
        <v xml:space="preserve">Obtain and install preceding updates. </v>
      </c>
      <c r="G25" s="62">
        <v>0</v>
      </c>
      <c r="H25" s="77">
        <v>0</v>
      </c>
      <c r="I25" s="85" t="str">
        <v>1.0.0</v>
      </c>
      <c r="J25" s="85">
        <v>0</v>
      </c>
      <c r="K25" s="85" t="str">
        <v>2.0.0</v>
      </c>
      <c r="L25" s="83" t="str">
        <v>U</v>
      </c>
      <c r="M25" s="84" t="str">
        <v>Covered by generic check(s) in S-158:100.</v>
      </c>
      <c r="N25" s="43"/>
    </row>
    <row r="26" spans="1:14" ht="26.25" thickBot="1">
      <c r="A26" s="44" t="str">
        <v>122_ED1_162</v>
      </c>
      <c r="B26" s="45" t="str">
        <v>122_0061</v>
      </c>
      <c r="C26" s="7" t="str">
        <v>W</v>
      </c>
      <c r="D26" s="61" t="str">
        <v>Terminated dataset is not present</v>
      </c>
      <c r="E26" s="62" t="str">
        <v>For each cancellation (termination) of a dataset that does not exist on the system or has already been cancelled</v>
      </c>
      <c r="F26" s="70" t="str">
        <v>Ignore the update</v>
      </c>
      <c r="G26" s="62">
        <v>0</v>
      </c>
      <c r="H26" s="77">
        <v>0</v>
      </c>
      <c r="I26" s="85" t="str">
        <v>1.0.0</v>
      </c>
      <c r="J26" s="85">
        <v>0</v>
      </c>
      <c r="K26" s="85" t="str">
        <v>2.0.0</v>
      </c>
      <c r="L26" s="83" t="str">
        <v>U</v>
      </c>
      <c r="M26" s="84" t="str">
        <v>This should be an S-164 test and not a validation check.</v>
      </c>
      <c r="N26" s="43"/>
    </row>
    <row r="27" spans="1:14" ht="13.5" thickBot="1">
      <c r="A27" s="44"/>
      <c r="B27" s="45"/>
      <c r="C27" s="7"/>
      <c r="D27" s="62"/>
      <c r="E27" s="62"/>
      <c r="F27" s="70"/>
      <c r="G27" s="62"/>
      <c r="H27" s="77"/>
      <c r="I27" s="85"/>
      <c r="J27" s="85"/>
      <c r="K27" s="85"/>
      <c r="L27" s="83"/>
      <c r="M27" s="84"/>
      <c r="N27" s="43"/>
    </row>
    <row r="28" spans="1:14" ht="13.5" thickBot="1">
      <c r="A28" s="44"/>
      <c r="B28" s="45"/>
      <c r="C28" s="7"/>
      <c r="D28" s="62"/>
      <c r="E28" s="62"/>
      <c r="F28" s="70"/>
      <c r="G28" s="62"/>
      <c r="H28" s="77"/>
      <c r="I28" s="85"/>
      <c r="J28" s="85"/>
      <c r="K28" s="85"/>
      <c r="L28" s="83"/>
      <c r="M28" s="84"/>
      <c r="N28" s="43"/>
    </row>
    <row r="29" spans="1:14" ht="13.5" thickBot="1">
      <c r="A29" s="44"/>
      <c r="B29" s="45"/>
      <c r="C29" s="7"/>
      <c r="D29" s="62"/>
      <c r="E29" s="62"/>
      <c r="F29" s="70"/>
      <c r="G29" s="65"/>
      <c r="H29" s="77"/>
      <c r="I29" s="85"/>
      <c r="J29" s="85"/>
      <c r="K29" s="85"/>
      <c r="L29" s="83"/>
      <c r="M29" s="84"/>
      <c r="N29" s="43"/>
    </row>
    <row r="30" spans="1:14" s="43" customFormat="1" ht="13.5" thickBot="1">
      <c r="A30" s="44"/>
      <c r="B30" s="45"/>
      <c r="C30" s="42"/>
      <c r="D30" s="55"/>
      <c r="E30" s="62"/>
      <c r="F30" s="70"/>
      <c r="G30" s="62"/>
      <c r="H30" s="77"/>
      <c r="I30" s="85"/>
      <c r="J30" s="85"/>
      <c r="K30" s="85"/>
      <c r="L30" s="83"/>
      <c r="M30" s="84"/>
    </row>
    <row r="31" spans="1:14" s="43" customFormat="1" ht="13.5" thickBot="1">
      <c r="A31" s="44"/>
      <c r="B31" s="45"/>
      <c r="C31" s="90"/>
      <c r="D31" s="63"/>
      <c r="E31" s="62"/>
      <c r="F31" s="70"/>
      <c r="G31" s="62"/>
      <c r="H31" s="77"/>
      <c r="I31" s="85"/>
      <c r="J31" s="85"/>
      <c r="K31" s="85"/>
      <c r="L31" s="83"/>
      <c r="M31" s="84"/>
    </row>
    <row r="32" spans="1:14" ht="13.5" thickBot="1">
      <c r="A32" s="44"/>
      <c r="B32" s="45"/>
      <c r="C32" s="7"/>
      <c r="D32" s="64"/>
      <c r="E32" s="61"/>
      <c r="F32" s="70"/>
      <c r="G32" s="62"/>
      <c r="H32" s="77"/>
      <c r="I32" s="85"/>
      <c r="J32" s="85"/>
      <c r="K32" s="85"/>
      <c r="L32" s="83"/>
      <c r="M32" s="84"/>
      <c r="N32" s="43"/>
    </row>
    <row r="33" spans="1:13" ht="13.5" thickBot="1">
      <c r="A33" s="44"/>
      <c r="B33" s="45"/>
      <c r="D33" s="64"/>
      <c r="E33" s="62"/>
      <c r="F33" s="75"/>
      <c r="G33" s="62"/>
      <c r="H33" s="92"/>
      <c r="I33" s="85"/>
      <c r="J33" s="85"/>
      <c r="K33" s="85"/>
      <c r="L33" s="83"/>
      <c r="M33" s="84"/>
    </row>
    <row r="34" spans="1:13" ht="13.5" thickBot="1">
      <c r="A34" s="44"/>
      <c r="B34" s="45"/>
      <c r="D34" s="57"/>
      <c r="E34" s="62"/>
      <c r="F34" s="75"/>
      <c r="G34" s="62"/>
      <c r="H34" s="92"/>
      <c r="I34" s="85"/>
      <c r="J34" s="85"/>
      <c r="K34" s="85"/>
      <c r="L34" s="83"/>
      <c r="M34" s="84"/>
    </row>
    <row r="35" spans="1:13" ht="13.5" thickBot="1">
      <c r="A35" s="44"/>
      <c r="B35" s="45"/>
      <c r="D35" s="57"/>
      <c r="E35" s="62"/>
      <c r="F35" s="75"/>
      <c r="G35" s="62"/>
      <c r="H35" s="92"/>
      <c r="I35" s="85"/>
      <c r="J35" s="85"/>
      <c r="K35" s="85"/>
      <c r="L35" s="83"/>
      <c r="M35" s="84"/>
    </row>
    <row r="36" spans="1:13" ht="13.5" thickBot="1">
      <c r="A36" s="44"/>
      <c r="B36" s="45"/>
      <c r="D36" s="61"/>
      <c r="E36" s="62"/>
      <c r="F36" s="75"/>
      <c r="G36" s="62"/>
      <c r="H36" s="92"/>
      <c r="I36" s="85"/>
      <c r="J36" s="85"/>
      <c r="K36" s="85"/>
      <c r="L36" s="83"/>
      <c r="M36" s="84"/>
    </row>
    <row r="37" spans="1:13" ht="13.5" thickBot="1">
      <c r="A37" s="44"/>
      <c r="B37" s="45"/>
      <c r="D37" s="61"/>
      <c r="E37" s="62"/>
      <c r="F37" s="75"/>
      <c r="G37" s="62"/>
      <c r="H37" s="92"/>
      <c r="I37" s="85"/>
      <c r="J37" s="85"/>
      <c r="K37" s="85"/>
      <c r="L37" s="83"/>
      <c r="M37" s="84"/>
    </row>
    <row r="38" spans="1:13" ht="13.5" thickBot="1">
      <c r="A38" s="44"/>
      <c r="B38" s="45"/>
      <c r="D38" s="61"/>
      <c r="E38" s="62"/>
      <c r="F38" s="75"/>
      <c r="G38" s="62"/>
      <c r="H38" s="92"/>
      <c r="I38" s="85"/>
      <c r="J38" s="85"/>
      <c r="K38" s="85"/>
      <c r="L38" s="83"/>
      <c r="M38" s="84"/>
    </row>
    <row r="39" spans="1:13" ht="13.5" thickBot="1">
      <c r="A39" s="44"/>
      <c r="B39" s="45"/>
      <c r="D39" s="65"/>
      <c r="E39" s="62"/>
      <c r="F39" s="75"/>
      <c r="G39" s="62"/>
      <c r="H39" s="92"/>
      <c r="I39" s="85"/>
      <c r="J39" s="85"/>
      <c r="K39" s="85"/>
      <c r="L39" s="83"/>
      <c r="M39" s="84"/>
    </row>
    <row r="40" spans="1:13" ht="13.5" thickBot="1">
      <c r="A40" s="44"/>
      <c r="B40" s="45"/>
      <c r="D40" s="61"/>
      <c r="E40" s="62"/>
      <c r="F40" s="75"/>
      <c r="G40" s="62"/>
      <c r="H40" s="77"/>
      <c r="I40" s="85"/>
      <c r="J40" s="85"/>
      <c r="K40" s="85"/>
      <c r="L40" s="83"/>
      <c r="M40" s="84"/>
    </row>
    <row r="41" spans="1:13" ht="13.5" thickBot="1">
      <c r="A41" s="44"/>
      <c r="B41" s="45"/>
      <c r="D41" s="62"/>
      <c r="E41" s="62"/>
      <c r="F41" s="75"/>
      <c r="G41" s="62"/>
      <c r="H41" s="77"/>
      <c r="I41" s="85"/>
      <c r="J41" s="85"/>
      <c r="K41" s="85"/>
      <c r="L41" s="83"/>
      <c r="M41" s="84"/>
    </row>
    <row r="42" spans="1:13" ht="13.5" thickBot="1">
      <c r="A42" s="44"/>
      <c r="B42" s="45"/>
      <c r="D42" s="62"/>
      <c r="E42" s="62"/>
      <c r="F42" s="75"/>
      <c r="G42" s="62"/>
      <c r="H42" s="77"/>
      <c r="I42" s="85"/>
      <c r="J42" s="85"/>
      <c r="K42" s="85"/>
      <c r="L42" s="83"/>
      <c r="M42" s="84"/>
    </row>
    <row r="43" spans="1:13" ht="13.5" thickBot="1">
      <c r="A43" s="44"/>
      <c r="B43" s="45"/>
      <c r="D43" s="62"/>
      <c r="E43" s="62"/>
      <c r="F43" s="75"/>
      <c r="G43" s="62"/>
      <c r="H43" s="77"/>
      <c r="I43" s="85"/>
      <c r="J43" s="85"/>
      <c r="K43" s="85"/>
      <c r="L43" s="83"/>
      <c r="M43" s="84"/>
    </row>
    <row r="44" spans="1:13" ht="13.5" thickBot="1">
      <c r="A44" s="44"/>
      <c r="B44" s="45"/>
      <c r="D44" s="62"/>
      <c r="E44" s="62"/>
      <c r="F44" s="75"/>
      <c r="G44" s="62"/>
      <c r="H44" s="77"/>
      <c r="I44" s="85"/>
      <c r="J44" s="85"/>
      <c r="K44" s="85"/>
      <c r="L44" s="83"/>
      <c r="M44" s="84"/>
    </row>
    <row r="45" spans="1:13" ht="13.5" thickBot="1">
      <c r="A45" s="44"/>
      <c r="B45" s="45"/>
      <c r="D45" s="62"/>
      <c r="E45" s="62"/>
      <c r="F45" s="75"/>
      <c r="G45" s="62"/>
      <c r="H45" s="77"/>
      <c r="I45" s="85"/>
      <c r="J45" s="85"/>
      <c r="K45" s="85"/>
      <c r="L45" s="83"/>
      <c r="M45" s="84"/>
    </row>
    <row r="46" spans="1:13" ht="13.5" thickBot="1">
      <c r="A46" s="44"/>
      <c r="B46" s="45"/>
      <c r="D46" s="62"/>
      <c r="E46" s="62"/>
      <c r="F46" s="75"/>
      <c r="G46" s="62"/>
      <c r="H46" s="92"/>
      <c r="I46" s="85"/>
      <c r="J46" s="85"/>
      <c r="K46" s="85"/>
      <c r="L46" s="86"/>
      <c r="M46" s="84"/>
    </row>
    <row r="47" spans="1:13" ht="13.5" thickBot="1">
      <c r="A47" s="44"/>
      <c r="B47" s="45"/>
      <c r="D47" s="62"/>
      <c r="E47" s="62"/>
      <c r="F47" s="75"/>
      <c r="G47" s="62"/>
      <c r="H47" s="92"/>
      <c r="I47" s="85"/>
      <c r="J47" s="85"/>
      <c r="K47" s="85"/>
      <c r="L47" s="86"/>
      <c r="M47" s="84"/>
    </row>
    <row r="48" spans="1:13" ht="13.5" thickBot="1">
      <c r="A48" s="44"/>
      <c r="B48" s="45"/>
      <c r="D48" s="62"/>
      <c r="E48" s="62"/>
      <c r="F48" s="75"/>
      <c r="G48" s="62"/>
      <c r="H48" s="77"/>
      <c r="I48" s="85"/>
      <c r="J48" s="85"/>
      <c r="K48" s="85"/>
      <c r="L48" s="86"/>
      <c r="M48" s="84"/>
    </row>
    <row r="49" spans="1:13" ht="13.5" thickBot="1">
      <c r="A49" s="44"/>
      <c r="B49" s="45"/>
      <c r="D49" s="62"/>
      <c r="E49" s="62"/>
      <c r="F49" s="75"/>
      <c r="G49" s="62"/>
      <c r="H49" s="92"/>
      <c r="I49" s="85"/>
      <c r="J49" s="85"/>
      <c r="K49" s="85"/>
      <c r="L49" s="86"/>
      <c r="M49" s="84"/>
    </row>
    <row r="50" spans="1:13" ht="13.5" thickBot="1">
      <c r="A50" s="44"/>
      <c r="B50" s="45"/>
      <c r="D50" s="62"/>
      <c r="E50" s="62"/>
      <c r="F50" s="75"/>
      <c r="G50" s="62"/>
      <c r="H50" s="92"/>
      <c r="I50" s="85"/>
      <c r="J50" s="85"/>
      <c r="K50" s="85"/>
      <c r="L50" s="86"/>
      <c r="M50" s="84"/>
    </row>
    <row r="51" spans="1:13" ht="13.5" thickBot="1">
      <c r="A51" s="44"/>
      <c r="B51" s="45"/>
      <c r="D51" s="62"/>
      <c r="E51" s="62"/>
      <c r="F51" s="75"/>
      <c r="G51" s="62"/>
      <c r="H51" s="77"/>
      <c r="I51" s="85"/>
      <c r="J51" s="85"/>
      <c r="K51" s="85"/>
      <c r="L51" s="86"/>
      <c r="M51" s="84"/>
    </row>
    <row r="52" spans="1:13" ht="13.5" thickBot="1">
      <c r="A52" s="44"/>
      <c r="B52" s="45"/>
      <c r="D52" s="62"/>
      <c r="E52" s="62"/>
      <c r="F52" s="75"/>
      <c r="G52" s="62"/>
      <c r="H52" s="77"/>
      <c r="I52" s="85"/>
      <c r="J52" s="85"/>
      <c r="K52" s="85"/>
      <c r="L52" s="86"/>
      <c r="M52" s="84"/>
    </row>
    <row r="53" spans="1:13" ht="13.5" thickBot="1">
      <c r="A53" s="44"/>
      <c r="B53" s="45"/>
      <c r="D53" s="62"/>
      <c r="E53" s="62"/>
      <c r="F53" s="75"/>
      <c r="G53" s="62"/>
      <c r="H53" s="92"/>
      <c r="I53" s="85"/>
      <c r="J53" s="85"/>
      <c r="K53" s="85"/>
      <c r="L53" s="86"/>
      <c r="M53" s="84"/>
    </row>
    <row r="54" spans="1:13" ht="13.5" thickBot="1">
      <c r="A54" s="44"/>
      <c r="B54" s="45"/>
      <c r="D54" s="62"/>
      <c r="E54" s="62"/>
      <c r="F54" s="75"/>
      <c r="G54" s="62"/>
      <c r="H54" s="77"/>
      <c r="I54" s="85"/>
      <c r="J54" s="85"/>
      <c r="K54" s="85"/>
      <c r="L54" s="86"/>
      <c r="M54" s="84"/>
    </row>
    <row r="55" spans="1:13" ht="13.5" thickBot="1">
      <c r="A55" s="44"/>
      <c r="B55" s="45"/>
      <c r="D55" s="62"/>
      <c r="E55" s="62"/>
      <c r="F55" s="75"/>
      <c r="G55" s="62"/>
      <c r="H55" s="92"/>
      <c r="I55" s="85"/>
      <c r="J55" s="85"/>
      <c r="K55" s="85"/>
      <c r="L55" s="86"/>
      <c r="M55" s="84"/>
    </row>
    <row r="56" spans="1:13" ht="13.5" thickBot="1">
      <c r="A56" s="44"/>
      <c r="B56" s="45"/>
      <c r="D56" s="62"/>
      <c r="E56" s="62"/>
      <c r="F56" s="75"/>
      <c r="G56" s="62"/>
      <c r="H56" s="92"/>
      <c r="I56" s="85"/>
      <c r="J56" s="85"/>
      <c r="K56" s="85"/>
      <c r="L56" s="86"/>
      <c r="M56" s="84"/>
    </row>
    <row r="57" spans="1:13" ht="13.5" thickBot="1">
      <c r="A57" s="44"/>
      <c r="B57" s="45"/>
      <c r="D57" s="62"/>
      <c r="E57" s="62"/>
      <c r="F57" s="75"/>
      <c r="G57" s="62"/>
      <c r="H57" s="92"/>
      <c r="I57" s="85"/>
      <c r="J57" s="85"/>
      <c r="K57" s="85"/>
      <c r="L57" s="86"/>
      <c r="M57" s="84"/>
    </row>
    <row r="58" spans="1:13" ht="13.5" thickBot="1">
      <c r="A58" s="44"/>
      <c r="B58" s="45"/>
      <c r="D58" s="62"/>
      <c r="E58" s="62"/>
      <c r="F58" s="75"/>
      <c r="G58" s="62"/>
      <c r="H58" s="77"/>
      <c r="I58" s="85"/>
      <c r="J58" s="85"/>
      <c r="K58" s="85"/>
      <c r="L58" s="86"/>
      <c r="M58" s="84"/>
    </row>
    <row r="59" spans="1:13" ht="13.5" thickBot="1">
      <c r="A59" s="44"/>
      <c r="B59" s="45"/>
      <c r="D59" s="61"/>
      <c r="E59" s="62"/>
      <c r="F59" s="75"/>
      <c r="G59" s="62"/>
      <c r="H59" s="77"/>
      <c r="I59" s="85"/>
      <c r="J59" s="85"/>
      <c r="K59" s="85"/>
      <c r="L59" s="86"/>
      <c r="M59" s="84"/>
    </row>
    <row r="60" spans="1:13" ht="13.5" thickBot="1">
      <c r="A60" s="44"/>
      <c r="B60" s="45"/>
      <c r="D60" s="65"/>
      <c r="E60" s="61"/>
      <c r="F60" s="75"/>
      <c r="G60" s="62"/>
      <c r="H60" s="92"/>
      <c r="I60" s="85"/>
      <c r="J60" s="85"/>
      <c r="K60" s="85"/>
      <c r="L60" s="86"/>
      <c r="M60" s="84"/>
    </row>
    <row r="61" spans="1:13" ht="13.5" thickBot="1">
      <c r="A61" s="44"/>
      <c r="B61" s="45"/>
      <c r="D61" s="61"/>
      <c r="E61" s="65"/>
      <c r="F61" s="75"/>
      <c r="G61" s="62"/>
      <c r="H61" s="92"/>
      <c r="I61" s="85"/>
      <c r="J61" s="85"/>
      <c r="K61" s="85"/>
      <c r="L61" s="86"/>
      <c r="M61" s="84"/>
    </row>
    <row r="62" spans="1:13" ht="13.5" thickBot="1">
      <c r="A62" s="44"/>
      <c r="B62" s="45"/>
      <c r="D62" s="62"/>
      <c r="E62" s="62"/>
      <c r="F62" s="75"/>
      <c r="G62" s="62"/>
      <c r="H62" s="77"/>
      <c r="I62" s="85"/>
      <c r="J62" s="85"/>
      <c r="K62" s="85"/>
      <c r="L62" s="86"/>
      <c r="M62" s="84"/>
    </row>
    <row r="63" spans="1:13" ht="13.5" thickBot="1">
      <c r="A63" s="44"/>
      <c r="B63" s="45"/>
      <c r="D63" s="62"/>
      <c r="E63" s="62"/>
      <c r="F63" s="75"/>
      <c r="G63" s="62"/>
      <c r="H63" s="77"/>
      <c r="I63" s="85"/>
      <c r="J63" s="85"/>
      <c r="K63" s="85"/>
      <c r="L63" s="86"/>
      <c r="M63" s="84"/>
    </row>
    <row r="64" spans="1:13" ht="13.5" thickBot="1">
      <c r="A64" s="44"/>
      <c r="B64" s="45"/>
      <c r="D64" s="62"/>
      <c r="E64" s="62"/>
      <c r="F64" s="75"/>
      <c r="G64" s="62"/>
      <c r="H64" s="77"/>
      <c r="I64" s="85"/>
      <c r="J64" s="85"/>
      <c r="K64" s="85"/>
      <c r="L64" s="86"/>
      <c r="M64" s="84"/>
    </row>
    <row r="65" spans="1:13" ht="13.5" thickBot="1">
      <c r="A65" s="44"/>
      <c r="B65" s="45"/>
      <c r="D65" s="62"/>
      <c r="E65" s="65"/>
      <c r="F65" s="75"/>
      <c r="G65" s="62"/>
      <c r="H65" s="92"/>
      <c r="I65" s="85"/>
      <c r="J65" s="85"/>
      <c r="K65" s="85"/>
      <c r="L65" s="86"/>
      <c r="M65" s="84"/>
    </row>
    <row r="66" spans="1:13" ht="13.5" thickBot="1">
      <c r="A66" s="44"/>
      <c r="B66" s="45"/>
      <c r="D66" s="62"/>
      <c r="E66" s="62"/>
      <c r="F66" s="75"/>
      <c r="G66" s="62"/>
      <c r="H66" s="77"/>
      <c r="I66" s="85"/>
      <c r="J66" s="85"/>
      <c r="K66" s="85"/>
      <c r="L66" s="86"/>
      <c r="M66" s="84"/>
    </row>
    <row r="67" spans="1:13" ht="13.5" thickBot="1">
      <c r="A67" s="44"/>
      <c r="B67" s="45"/>
      <c r="D67" s="62"/>
      <c r="E67" s="62"/>
      <c r="F67" s="75"/>
      <c r="G67" s="62"/>
      <c r="H67" s="92"/>
      <c r="I67" s="85"/>
      <c r="J67" s="85"/>
      <c r="K67" s="85"/>
      <c r="L67" s="86"/>
      <c r="M67" s="84"/>
    </row>
    <row r="68" spans="1:13" ht="13.5" thickBot="1">
      <c r="A68" s="44"/>
      <c r="B68" s="45"/>
      <c r="D68" s="62"/>
      <c r="E68" s="62"/>
      <c r="F68" s="75"/>
      <c r="G68" s="62"/>
      <c r="H68" s="77"/>
      <c r="I68" s="85"/>
      <c r="J68" s="85"/>
      <c r="K68" s="85"/>
      <c r="L68" s="86"/>
      <c r="M68" s="84"/>
    </row>
    <row r="69" spans="1:13" ht="13.5" thickBot="1">
      <c r="A69" s="44"/>
      <c r="B69" s="45"/>
      <c r="D69" s="62"/>
      <c r="E69" s="62"/>
      <c r="F69" s="75"/>
      <c r="G69" s="62"/>
      <c r="H69" s="77"/>
      <c r="I69" s="85"/>
      <c r="J69" s="85"/>
      <c r="K69" s="85"/>
      <c r="L69" s="86"/>
      <c r="M69" s="84"/>
    </row>
    <row r="70" spans="1:13" ht="13.5" thickBot="1">
      <c r="A70" s="44"/>
      <c r="B70" s="45"/>
      <c r="D70" s="62"/>
      <c r="E70" s="62"/>
      <c r="F70" s="75"/>
      <c r="G70" s="62"/>
      <c r="H70" s="77"/>
      <c r="I70" s="85"/>
      <c r="J70" s="85"/>
      <c r="K70" s="85"/>
      <c r="L70" s="86"/>
      <c r="M70" s="84"/>
    </row>
    <row r="71" spans="1:13" ht="13.5" thickBot="1">
      <c r="A71" s="44"/>
      <c r="B71" s="45"/>
      <c r="D71" s="62"/>
      <c r="E71" s="62"/>
      <c r="F71" s="75"/>
      <c r="G71" s="62"/>
      <c r="H71" s="77"/>
      <c r="I71" s="85"/>
      <c r="J71" s="85"/>
      <c r="K71" s="85"/>
      <c r="L71" s="86"/>
      <c r="M71" s="84"/>
    </row>
    <row r="72" spans="1:13" ht="13.5" thickBot="1">
      <c r="A72" s="44"/>
      <c r="B72" s="45"/>
      <c r="D72" s="62"/>
      <c r="E72" s="62"/>
      <c r="F72" s="75"/>
      <c r="G72" s="62"/>
      <c r="H72" s="77"/>
      <c r="I72" s="85"/>
      <c r="J72" s="85"/>
      <c r="K72" s="85"/>
      <c r="L72" s="86"/>
      <c r="M72" s="84"/>
    </row>
    <row r="73" spans="1:13" ht="13.5" thickBot="1">
      <c r="A73" s="44"/>
      <c r="B73" s="45"/>
      <c r="D73" s="62"/>
      <c r="E73" s="62"/>
      <c r="F73" s="75"/>
      <c r="G73" s="62"/>
      <c r="H73" s="77"/>
      <c r="I73" s="85"/>
      <c r="J73" s="85"/>
      <c r="K73" s="85"/>
      <c r="L73" s="86"/>
      <c r="M73" s="84"/>
    </row>
    <row r="74" spans="1:13" ht="13.5" thickBot="1">
      <c r="A74" s="44"/>
      <c r="B74" s="45"/>
      <c r="D74" s="61"/>
      <c r="E74" s="62"/>
      <c r="F74" s="75"/>
      <c r="G74" s="62"/>
      <c r="H74" s="92"/>
      <c r="I74" s="85"/>
      <c r="J74" s="85"/>
      <c r="K74" s="85"/>
      <c r="L74" s="86"/>
      <c r="M74" s="84"/>
    </row>
    <row r="75" spans="1:13" ht="13.5" thickBot="1">
      <c r="A75" s="44"/>
      <c r="B75" s="45"/>
      <c r="D75" s="61"/>
      <c r="E75" s="62"/>
      <c r="F75" s="75"/>
      <c r="G75" s="62"/>
      <c r="H75" s="92"/>
      <c r="I75" s="85"/>
      <c r="J75" s="85"/>
      <c r="K75" s="85"/>
      <c r="L75" s="86"/>
      <c r="M75" s="84"/>
    </row>
    <row r="76" spans="1:13" ht="13.5" thickBot="1">
      <c r="A76" s="44"/>
      <c r="B76" s="45"/>
      <c r="D76" s="63"/>
      <c r="E76" s="62"/>
      <c r="F76" s="75"/>
      <c r="G76" s="62"/>
      <c r="H76" s="92"/>
      <c r="I76" s="85"/>
      <c r="J76" s="85"/>
      <c r="K76" s="85"/>
      <c r="L76" s="86"/>
      <c r="M76" s="84"/>
    </row>
    <row r="77" spans="1:13" ht="13.5" thickBot="1">
      <c r="A77" s="44"/>
      <c r="B77" s="45"/>
      <c r="D77" s="63"/>
      <c r="E77" s="62"/>
      <c r="F77" s="75"/>
      <c r="G77" s="62"/>
      <c r="H77" s="92"/>
      <c r="I77" s="85"/>
      <c r="J77" s="85"/>
      <c r="K77" s="85"/>
      <c r="L77" s="86"/>
      <c r="M77" s="84"/>
    </row>
    <row r="78" spans="1:13" ht="13.5" thickBot="1">
      <c r="A78" s="44"/>
      <c r="B78" s="45"/>
      <c r="D78" s="63"/>
      <c r="E78" s="62"/>
      <c r="F78" s="75"/>
      <c r="G78" s="62"/>
      <c r="H78" s="92"/>
      <c r="I78" s="85"/>
      <c r="J78" s="85"/>
      <c r="K78" s="85"/>
      <c r="L78" s="86"/>
      <c r="M78" s="84"/>
    </row>
    <row r="79" spans="1:13" ht="13.5" thickBot="1">
      <c r="A79" s="44"/>
      <c r="B79" s="45"/>
      <c r="D79" s="63"/>
      <c r="E79" s="62"/>
      <c r="F79" s="75"/>
      <c r="G79" s="62"/>
      <c r="H79" s="92"/>
      <c r="I79" s="85"/>
      <c r="J79" s="85"/>
      <c r="K79" s="85"/>
      <c r="L79" s="86"/>
      <c r="M79" s="84"/>
    </row>
    <row r="80" spans="1:13" ht="13.5" thickBot="1">
      <c r="A80" s="44"/>
      <c r="B80" s="45"/>
      <c r="D80" s="63"/>
      <c r="E80" s="62"/>
      <c r="F80" s="75"/>
      <c r="G80" s="62"/>
      <c r="H80" s="92"/>
      <c r="I80" s="85"/>
      <c r="J80" s="85"/>
      <c r="K80" s="85"/>
      <c r="L80" s="86"/>
      <c r="M80" s="84"/>
    </row>
    <row r="81" spans="1:13" ht="13.5" thickBot="1">
      <c r="A81" s="44"/>
      <c r="B81" s="45"/>
      <c r="D81" s="63"/>
      <c r="E81" s="62"/>
      <c r="F81" s="75"/>
      <c r="G81" s="62"/>
      <c r="H81" s="92"/>
      <c r="I81" s="85"/>
      <c r="J81" s="85"/>
      <c r="K81" s="85"/>
      <c r="L81" s="86"/>
      <c r="M81" s="84"/>
    </row>
    <row r="82" spans="1:13" ht="13.5" thickBot="1">
      <c r="A82" s="44"/>
      <c r="B82" s="45"/>
      <c r="D82" s="63"/>
      <c r="E82" s="62"/>
      <c r="F82" s="75"/>
      <c r="G82" s="62"/>
      <c r="H82" s="92"/>
      <c r="I82" s="85"/>
      <c r="J82" s="85"/>
      <c r="K82" s="85"/>
      <c r="L82" s="86"/>
      <c r="M82" s="84"/>
    </row>
    <row r="83" spans="1:13" ht="13.5" thickBot="1">
      <c r="A83" s="44"/>
      <c r="B83" s="45"/>
      <c r="D83" s="63"/>
      <c r="E83" s="62"/>
      <c r="F83" s="75"/>
      <c r="G83" s="62"/>
      <c r="H83" s="92"/>
      <c r="I83" s="85"/>
      <c r="J83" s="85"/>
      <c r="K83" s="85"/>
      <c r="L83" s="86"/>
      <c r="M83" s="84"/>
    </row>
    <row r="84" spans="1:13" ht="13.5" thickBot="1">
      <c r="A84" s="44"/>
      <c r="B84" s="45"/>
      <c r="D84" s="63"/>
      <c r="E84" s="62"/>
      <c r="F84" s="75"/>
      <c r="G84" s="62"/>
      <c r="H84" s="92"/>
      <c r="I84" s="85"/>
      <c r="J84" s="85"/>
      <c r="K84" s="85"/>
      <c r="L84" s="86"/>
      <c r="M84" s="84"/>
    </row>
    <row r="85" spans="1:13" ht="13.5" thickBot="1">
      <c r="A85" s="44"/>
      <c r="B85" s="45"/>
      <c r="D85" s="63"/>
      <c r="E85" s="62"/>
      <c r="F85" s="75"/>
      <c r="G85" s="62"/>
      <c r="H85" s="92"/>
      <c r="I85" s="85"/>
      <c r="J85" s="85"/>
      <c r="K85" s="85"/>
      <c r="L85" s="86"/>
      <c r="M85" s="84"/>
    </row>
    <row r="86" spans="1:13" ht="13.5" thickBot="1">
      <c r="A86" s="44"/>
      <c r="B86" s="45"/>
      <c r="D86" s="63"/>
      <c r="E86" s="62"/>
      <c r="F86" s="75"/>
      <c r="G86" s="62"/>
      <c r="H86" s="77"/>
      <c r="I86" s="85"/>
      <c r="J86" s="85"/>
      <c r="K86" s="85"/>
      <c r="L86" s="86"/>
      <c r="M86" s="84"/>
    </row>
    <row r="87" spans="1:13" ht="13.5" thickBot="1">
      <c r="A87" s="44"/>
      <c r="B87" s="45"/>
      <c r="D87" s="64"/>
      <c r="F87" s="58"/>
    </row>
    <row r="88" spans="1:13">
      <c r="A88" s="44"/>
      <c r="B88" s="45"/>
      <c r="F88" s="58"/>
    </row>
    <row r="89" spans="1:13">
      <c r="A89" s="44"/>
      <c r="B89" s="45"/>
      <c r="F89" s="58"/>
    </row>
    <row r="90" spans="1:13">
      <c r="A90" s="44"/>
      <c r="B90" s="45"/>
      <c r="F90" s="58"/>
    </row>
    <row r="91" spans="1:13">
      <c r="A91" s="44"/>
      <c r="B91" s="45"/>
      <c r="F91" s="58"/>
    </row>
  </sheetData>
  <dataValidations count="1">
    <dataValidation type="list" allowBlank="1" showInputMessage="1" showErrorMessage="1" sqref="C2:C32" xr:uid="{87499D4D-ACC3-4CD8-8807-5DF1827879FA}">
      <formula1>"C,E,W"</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S122ValidationChecks metadata</vt:lpstr>
      <vt:lpstr>S122Checks</vt:lpstr>
      <vt:lpstr>DeletedS122Checks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2026-01-23T05:44:27Z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